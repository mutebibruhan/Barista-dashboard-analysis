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2e47c01609e708b3/Desktop/Projects/Barista performance/"/>
    </mc:Choice>
  </mc:AlternateContent>
  <xr:revisionPtr revIDLastSave="3" documentId="14_{09759669-6587-455C-8E8A-5110A3F24E8D}" xr6:coauthVersionLast="47" xr6:coauthVersionMax="47" xr10:uidLastSave="{7F61DB36-D222-45FA-9ADB-2960D93C2BE8}"/>
  <bookViews>
    <workbookView xWindow="-110" yWindow="-110" windowWidth="22780" windowHeight="14540" activeTab="3" xr2:uid="{E1942F74-16F9-460C-B7A7-1F0D8D8B82C1}"/>
  </bookViews>
  <sheets>
    <sheet name="cleaned" sheetId="4" r:id="rId1"/>
    <sheet name="Analysis" sheetId="3" r:id="rId2"/>
    <sheet name="Emp Productivity" sheetId="2" r:id="rId3"/>
    <sheet name="Dashboard" sheetId="1" r:id="rId4"/>
  </sheets>
  <definedNames>
    <definedName name="ADT">Analysis!$B$69</definedName>
    <definedName name="adtv">Analysis!$B$70</definedName>
    <definedName name="ATV">Analysis!$B$72</definedName>
    <definedName name="atvt">Analysis!$B$73</definedName>
    <definedName name="ExternalData_1" localSheetId="2" hidden="1">'Emp Productivity'!$A$1:$G$51</definedName>
    <definedName name="khl">Analysis!$B$69</definedName>
    <definedName name="Sales">Analysis!$B$65</definedName>
    <definedName name="Slicer_Employee_Name">#N/A</definedName>
    <definedName name="Slicer_Week">#N/A</definedName>
    <definedName name="total">Analysis!$B$66</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7FA098-B149-4065-B590-BEE6C936B6A9}" keepAlive="1" name="Query - Emp Productivity" description="Connection to the 'Emp Productivity' query in the workbook." type="5" refreshedVersion="8" background="1" saveData="1">
    <dbPr connection="Provider=Microsoft.Mashup.OleDb.1;Data Source=$Workbook$;Location=&quot;Emp Productivity&quot;;Extended Properties=&quot;&quot;" command="SELECT * FROM [Emp Productivity]"/>
  </connection>
  <connection id="2" xr16:uid="{6356FC5A-0558-4882-BBB0-64733E6A8AD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B04BA2B1-2E21-4434-8D96-C20934AE8AC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7BBD1611-71D9-4C42-BDEC-BF4F1E10A87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5C703CAF-BA2A-4AB0-B554-464AC99E0D7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<sst xmlns="http://schemas.openxmlformats.org/spreadsheetml/2006/main" count="216" uniqueCount="36">
  <si>
    <t>Source.Name</t>
  </si>
  <si>
    <t>Employee Name</t>
  </si>
  <si>
    <t>Gross Sales After Discounts</t>
  </si>
  <si>
    <t>All Check Count</t>
  </si>
  <si>
    <t>Service Charges</t>
  </si>
  <si>
    <t>Discounts</t>
  </si>
  <si>
    <t>Average Check</t>
  </si>
  <si>
    <t>Week 16</t>
  </si>
  <si>
    <t>MYKA BALINGIT</t>
  </si>
  <si>
    <t>POS API UAE4 POS API UAE4</t>
  </si>
  <si>
    <t>Abdul Kalam Abdul Kalam</t>
  </si>
  <si>
    <t>BIKASH TAMANG</t>
  </si>
  <si>
    <t>SUMITRA CHHETRI</t>
  </si>
  <si>
    <t>MELJON JACOB</t>
  </si>
  <si>
    <t>Uzair Robin</t>
  </si>
  <si>
    <t>BURUHANI MUTEBI BURUHANI MUTEBI</t>
  </si>
  <si>
    <t>MEHMOOD TALHA M</t>
  </si>
  <si>
    <t xml:space="preserve">Mohamed Fathi Elsoghier </t>
  </si>
  <si>
    <t>SALEENA SHRESTHA</t>
  </si>
  <si>
    <t>Wazir Khan</t>
  </si>
  <si>
    <t>Week 17</t>
  </si>
  <si>
    <t>E TOLENTINO-322367 MARK JAYSON</t>
  </si>
  <si>
    <t>Week 18</t>
  </si>
  <si>
    <t>Week 19</t>
  </si>
  <si>
    <t>Week</t>
  </si>
  <si>
    <t>Delivery</t>
  </si>
  <si>
    <t>Grand Total</t>
  </si>
  <si>
    <t>Column Labels</t>
  </si>
  <si>
    <t xml:space="preserve">Net Sales </t>
  </si>
  <si>
    <t>Partner Name</t>
  </si>
  <si>
    <t>Average Net sales</t>
  </si>
  <si>
    <t>ADT</t>
  </si>
  <si>
    <t>ATV</t>
  </si>
  <si>
    <t>Net Sales</t>
  </si>
  <si>
    <t>Details for Net Sales</t>
  </si>
  <si>
    <t>Total ADT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</si>
</sst>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AED]\ #,##0"/>
  </numFmts>
  <fonts count="2" x14ac:knownFonts="1">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0" borderId="0" xfId="0" applyFont="1"/>
    <xf numFmtId="0" fontId="0" fillId="0" borderId="0" xfId="0" applyAlignment="1">
      <alignment horizontal="center"/>
    </xf>
    <xf numFmtId="165" fontId="0" fillId="0" borderId="0" xfId="0" applyNumberFormat="1" applyAlignment="1">
      <alignment horizontal="center"/>
    </xf>
    <xf numFmtId="0" fontId="0" fillId="0" borderId="0" xfId="0" applyNumberFormat="1" applyAlignment="1">
      <alignment horizontal="center"/>
    </xf>
    <xf numFmtId="164" fontId="0" fillId="0" borderId="0" xfId="0" applyNumberFormat="1" applyAlignment="1">
      <alignment horizontal="center"/>
    </xf>
  </cellXfs>
  <cellStyles count="1">
    <cellStyle name="Normal" xfId="0" builtinId="0"/>
  </cellStyles>
  <dxfs count="20">
    <dxf>
      <numFmt numFmtId="0" formatCode="General"/>
    </dxf>
    <dxf>
      <numFmt numFmtId="0" formatCode="General"/>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
      <alignment horizontal="center"/>
    </dxf>
    <dxf>
      <alignment horizontal="center"/>
    </dxf>
    <dxf>
      <alignment horizontal="center"/>
    </dxf>
    <dxf>
      <alignment vertical="bottom"/>
    </dxf>
    <dxf>
      <alignment vertical="bottom"/>
    </dxf>
    <dxf>
      <alignment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Partner Weekly Sales</a:t>
            </a:r>
          </a:p>
        </c:rich>
      </c:tx>
      <c:layout>
        <c:manualLayout>
          <c:xMode val="edge"/>
          <c:yMode val="edge"/>
          <c:x val="0.30092187412743626"/>
          <c:y val="5.63380281690140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4750097727142"/>
          <c:y val="0.1471927100661713"/>
          <c:w val="0.71420625546806649"/>
          <c:h val="0.50633129192184312"/>
        </c:manualLayout>
      </c:layout>
      <c:barChart>
        <c:barDir val="col"/>
        <c:grouping val="clustered"/>
        <c:varyColors val="0"/>
        <c:ser>
          <c:idx val="0"/>
          <c:order val="0"/>
          <c:tx>
            <c:strRef>
              <c:f>Analysis!$C$51:$C$52</c:f>
              <c:strCache>
                <c:ptCount val="1"/>
                <c:pt idx="0">
                  <c:v>Week 16</c:v>
                </c:pt>
              </c:strCache>
            </c:strRef>
          </c:tx>
          <c:spPr>
            <a:solidFill>
              <a:schemeClr val="accent1"/>
            </a:solidFill>
            <a:ln>
              <a:noFill/>
            </a:ln>
            <a:effectLst/>
          </c:spPr>
          <c:invertIfNegative val="0"/>
          <c:cat>
            <c:strRef>
              <c:f>Analysis!$B$53:$B$59</c:f>
              <c:strCache>
                <c:ptCount val="6"/>
                <c:pt idx="0">
                  <c:v>Abdul Kalam Abdul Kalam</c:v>
                </c:pt>
                <c:pt idx="1">
                  <c:v>BIKASH TAMANG</c:v>
                </c:pt>
                <c:pt idx="2">
                  <c:v>Delivery</c:v>
                </c:pt>
                <c:pt idx="3">
                  <c:v>MELJON JACOB</c:v>
                </c:pt>
                <c:pt idx="4">
                  <c:v>MYKA BALINGIT</c:v>
                </c:pt>
                <c:pt idx="5">
                  <c:v>SUMITRA CHHETRI</c:v>
                </c:pt>
              </c:strCache>
            </c:strRef>
          </c:cat>
          <c:val>
            <c:numRef>
              <c:f>Analysis!$C$53:$C$59</c:f>
              <c:numCache>
                <c:formatCode>General</c:formatCode>
                <c:ptCount val="6"/>
                <c:pt idx="0">
                  <c:v>13676.85</c:v>
                </c:pt>
                <c:pt idx="1">
                  <c:v>12696.25</c:v>
                </c:pt>
                <c:pt idx="2">
                  <c:v>14625</c:v>
                </c:pt>
                <c:pt idx="3">
                  <c:v>4231.45</c:v>
                </c:pt>
                <c:pt idx="4">
                  <c:v>25094.400000000001</c:v>
                </c:pt>
                <c:pt idx="5">
                  <c:v>5045.3</c:v>
                </c:pt>
              </c:numCache>
            </c:numRef>
          </c:val>
          <c:extLst>
            <c:ext xmlns:c16="http://schemas.microsoft.com/office/drawing/2014/chart" uri="{C3380CC4-5D6E-409C-BE32-E72D297353CC}">
              <c16:uniqueId val="{00000000-F757-488B-9A78-9376E769ED63}"/>
            </c:ext>
          </c:extLst>
        </c:ser>
        <c:ser>
          <c:idx val="1"/>
          <c:order val="1"/>
          <c:tx>
            <c:strRef>
              <c:f>Analysis!$D$51:$D$52</c:f>
              <c:strCache>
                <c:ptCount val="1"/>
                <c:pt idx="0">
                  <c:v>Week 19</c:v>
                </c:pt>
              </c:strCache>
            </c:strRef>
          </c:tx>
          <c:spPr>
            <a:solidFill>
              <a:schemeClr val="accent2"/>
            </a:solidFill>
            <a:ln>
              <a:noFill/>
            </a:ln>
            <a:effectLst/>
          </c:spPr>
          <c:invertIfNegative val="0"/>
          <c:cat>
            <c:strRef>
              <c:f>Analysis!$B$53:$B$59</c:f>
              <c:strCache>
                <c:ptCount val="6"/>
                <c:pt idx="0">
                  <c:v>Abdul Kalam Abdul Kalam</c:v>
                </c:pt>
                <c:pt idx="1">
                  <c:v>BIKASH TAMANG</c:v>
                </c:pt>
                <c:pt idx="2">
                  <c:v>Delivery</c:v>
                </c:pt>
                <c:pt idx="3">
                  <c:v>MELJON JACOB</c:v>
                </c:pt>
                <c:pt idx="4">
                  <c:v>MYKA BALINGIT</c:v>
                </c:pt>
                <c:pt idx="5">
                  <c:v>SUMITRA CHHETRI</c:v>
                </c:pt>
              </c:strCache>
            </c:strRef>
          </c:cat>
          <c:val>
            <c:numRef>
              <c:f>Analysis!$D$53:$D$59</c:f>
              <c:numCache>
                <c:formatCode>General</c:formatCode>
                <c:ptCount val="6"/>
                <c:pt idx="0">
                  <c:v>3388.87</c:v>
                </c:pt>
                <c:pt idx="1">
                  <c:v>3560.7</c:v>
                </c:pt>
                <c:pt idx="2">
                  <c:v>11542.5</c:v>
                </c:pt>
                <c:pt idx="3">
                  <c:v>14781.61</c:v>
                </c:pt>
                <c:pt idx="4">
                  <c:v>17005.05</c:v>
                </c:pt>
                <c:pt idx="5">
                  <c:v>11313.3</c:v>
                </c:pt>
              </c:numCache>
            </c:numRef>
          </c:val>
          <c:extLst>
            <c:ext xmlns:c16="http://schemas.microsoft.com/office/drawing/2014/chart" uri="{C3380CC4-5D6E-409C-BE32-E72D297353CC}">
              <c16:uniqueId val="{00000001-49F1-4935-9122-69B9AED18793}"/>
            </c:ext>
          </c:extLst>
        </c:ser>
        <c:ser>
          <c:idx val="2"/>
          <c:order val="2"/>
          <c:tx>
            <c:strRef>
              <c:f>Analysis!$E$51:$E$52</c:f>
              <c:strCache>
                <c:ptCount val="1"/>
                <c:pt idx="0">
                  <c:v>Week 17</c:v>
                </c:pt>
              </c:strCache>
            </c:strRef>
          </c:tx>
          <c:spPr>
            <a:solidFill>
              <a:schemeClr val="accent3"/>
            </a:solidFill>
            <a:ln>
              <a:noFill/>
            </a:ln>
            <a:effectLst/>
          </c:spPr>
          <c:invertIfNegative val="0"/>
          <c:cat>
            <c:strRef>
              <c:f>Analysis!$B$53:$B$59</c:f>
              <c:strCache>
                <c:ptCount val="6"/>
                <c:pt idx="0">
                  <c:v>Abdul Kalam Abdul Kalam</c:v>
                </c:pt>
                <c:pt idx="1">
                  <c:v>BIKASH TAMANG</c:v>
                </c:pt>
                <c:pt idx="2">
                  <c:v>Delivery</c:v>
                </c:pt>
                <c:pt idx="3">
                  <c:v>MELJON JACOB</c:v>
                </c:pt>
                <c:pt idx="4">
                  <c:v>MYKA BALINGIT</c:v>
                </c:pt>
                <c:pt idx="5">
                  <c:v>SUMITRA CHHETRI</c:v>
                </c:pt>
              </c:strCache>
            </c:strRef>
          </c:cat>
          <c:val>
            <c:numRef>
              <c:f>Analysis!$E$53:$E$59</c:f>
              <c:numCache>
                <c:formatCode>General</c:formatCode>
                <c:ptCount val="6"/>
                <c:pt idx="0">
                  <c:v>18858.79</c:v>
                </c:pt>
                <c:pt idx="1">
                  <c:v>4878.7</c:v>
                </c:pt>
                <c:pt idx="2">
                  <c:v>11479.8</c:v>
                </c:pt>
                <c:pt idx="3">
                  <c:v>0</c:v>
                </c:pt>
                <c:pt idx="4">
                  <c:v>23448.82</c:v>
                </c:pt>
                <c:pt idx="5">
                  <c:v>2731.9</c:v>
                </c:pt>
              </c:numCache>
            </c:numRef>
          </c:val>
          <c:extLst>
            <c:ext xmlns:c16="http://schemas.microsoft.com/office/drawing/2014/chart" uri="{C3380CC4-5D6E-409C-BE32-E72D297353CC}">
              <c16:uniqueId val="{00000002-49F1-4935-9122-69B9AED18793}"/>
            </c:ext>
          </c:extLst>
        </c:ser>
        <c:ser>
          <c:idx val="3"/>
          <c:order val="3"/>
          <c:tx>
            <c:strRef>
              <c:f>Analysis!$F$51:$F$52</c:f>
              <c:strCache>
                <c:ptCount val="1"/>
                <c:pt idx="0">
                  <c:v>Week 18</c:v>
                </c:pt>
              </c:strCache>
            </c:strRef>
          </c:tx>
          <c:spPr>
            <a:solidFill>
              <a:schemeClr val="accent4"/>
            </a:solidFill>
            <a:ln>
              <a:noFill/>
            </a:ln>
            <a:effectLst/>
          </c:spPr>
          <c:invertIfNegative val="0"/>
          <c:cat>
            <c:strRef>
              <c:f>Analysis!$B$53:$B$59</c:f>
              <c:strCache>
                <c:ptCount val="6"/>
                <c:pt idx="0">
                  <c:v>Abdul Kalam Abdul Kalam</c:v>
                </c:pt>
                <c:pt idx="1">
                  <c:v>BIKASH TAMANG</c:v>
                </c:pt>
                <c:pt idx="2">
                  <c:v>Delivery</c:v>
                </c:pt>
                <c:pt idx="3">
                  <c:v>MELJON JACOB</c:v>
                </c:pt>
                <c:pt idx="4">
                  <c:v>MYKA BALINGIT</c:v>
                </c:pt>
                <c:pt idx="5">
                  <c:v>SUMITRA CHHETRI</c:v>
                </c:pt>
              </c:strCache>
            </c:strRef>
          </c:cat>
          <c:val>
            <c:numRef>
              <c:f>Analysis!$F$53:$F$59</c:f>
              <c:numCache>
                <c:formatCode>General</c:formatCode>
                <c:ptCount val="6"/>
                <c:pt idx="0">
                  <c:v>5234.45</c:v>
                </c:pt>
                <c:pt idx="1">
                  <c:v>1270.9000000000001</c:v>
                </c:pt>
                <c:pt idx="2">
                  <c:v>11407.3</c:v>
                </c:pt>
                <c:pt idx="3">
                  <c:v>0</c:v>
                </c:pt>
                <c:pt idx="4">
                  <c:v>13433.5</c:v>
                </c:pt>
                <c:pt idx="5">
                  <c:v>24898.6</c:v>
                </c:pt>
              </c:numCache>
            </c:numRef>
          </c:val>
          <c:extLst>
            <c:ext xmlns:c16="http://schemas.microsoft.com/office/drawing/2014/chart" uri="{C3380CC4-5D6E-409C-BE32-E72D297353CC}">
              <c16:uniqueId val="{00000003-49F1-4935-9122-69B9AED18793}"/>
            </c:ext>
          </c:extLst>
        </c:ser>
        <c:dLbls>
          <c:showLegendKey val="0"/>
          <c:showVal val="0"/>
          <c:showCatName val="0"/>
          <c:showSerName val="0"/>
          <c:showPercent val="0"/>
          <c:showBubbleSize val="0"/>
        </c:dLbls>
        <c:gapWidth val="219"/>
        <c:overlap val="-27"/>
        <c:axId val="990910671"/>
        <c:axId val="990909711"/>
      </c:barChart>
      <c:catAx>
        <c:axId val="99091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909711"/>
        <c:crosses val="autoZero"/>
        <c:auto val="1"/>
        <c:lblAlgn val="ctr"/>
        <c:lblOffset val="100"/>
        <c:noMultiLvlLbl val="0"/>
      </c:catAx>
      <c:valAx>
        <c:axId val="99090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91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ADT and ATV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Analysis!$B$25</c:f>
              <c:strCache>
                <c:ptCount val="1"/>
                <c:pt idx="0">
                  <c:v>ADT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Analysis!$A$26:$A$32</c:f>
              <c:strCache>
                <c:ptCount val="6"/>
                <c:pt idx="0">
                  <c:v>MYKA BALINGIT</c:v>
                </c:pt>
                <c:pt idx="1">
                  <c:v>SUMITRA CHHETRI</c:v>
                </c:pt>
                <c:pt idx="2">
                  <c:v>Abdul Kalam Abdul Kalam</c:v>
                </c:pt>
                <c:pt idx="3">
                  <c:v>Delivery</c:v>
                </c:pt>
                <c:pt idx="4">
                  <c:v>BIKASH TAMANG</c:v>
                </c:pt>
                <c:pt idx="5">
                  <c:v>MELJON JACOB</c:v>
                </c:pt>
              </c:strCache>
            </c:strRef>
          </c:cat>
          <c:val>
            <c:numRef>
              <c:f>Analysis!$B$26:$B$32</c:f>
              <c:numCache>
                <c:formatCode>General</c:formatCode>
                <c:ptCount val="6"/>
                <c:pt idx="0">
                  <c:v>2336</c:v>
                </c:pt>
                <c:pt idx="1">
                  <c:v>1335</c:v>
                </c:pt>
                <c:pt idx="2">
                  <c:v>1169</c:v>
                </c:pt>
                <c:pt idx="3">
                  <c:v>1028</c:v>
                </c:pt>
                <c:pt idx="4">
                  <c:v>686</c:v>
                </c:pt>
                <c:pt idx="5">
                  <c:v>538</c:v>
                </c:pt>
              </c:numCache>
            </c:numRef>
          </c:val>
          <c:extLst>
            <c:ext xmlns:c16="http://schemas.microsoft.com/office/drawing/2014/chart" uri="{C3380CC4-5D6E-409C-BE32-E72D297353CC}">
              <c16:uniqueId val="{00000000-EA72-44EF-966B-9AAC9CA17BC6}"/>
            </c:ext>
          </c:extLst>
        </c:ser>
        <c:dLbls>
          <c:showLegendKey val="0"/>
          <c:showVal val="1"/>
          <c:showCatName val="0"/>
          <c:showSerName val="0"/>
          <c:showPercent val="0"/>
          <c:showBubbleSize val="0"/>
        </c:dLbls>
        <c:gapWidth val="219"/>
        <c:axId val="2109409151"/>
        <c:axId val="2109407711"/>
      </c:barChart>
      <c:lineChart>
        <c:grouping val="standard"/>
        <c:varyColors val="0"/>
        <c:ser>
          <c:idx val="1"/>
          <c:order val="1"/>
          <c:tx>
            <c:strRef>
              <c:f>Analysis!$C$25</c:f>
              <c:strCache>
                <c:ptCount val="1"/>
                <c:pt idx="0">
                  <c:v>ATV</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Analysis!$A$26:$A$32</c:f>
              <c:strCache>
                <c:ptCount val="6"/>
                <c:pt idx="0">
                  <c:v>MYKA BALINGIT</c:v>
                </c:pt>
                <c:pt idx="1">
                  <c:v>SUMITRA CHHETRI</c:v>
                </c:pt>
                <c:pt idx="2">
                  <c:v>Abdul Kalam Abdul Kalam</c:v>
                </c:pt>
                <c:pt idx="3">
                  <c:v>Delivery</c:v>
                </c:pt>
                <c:pt idx="4">
                  <c:v>BIKASH TAMANG</c:v>
                </c:pt>
                <c:pt idx="5">
                  <c:v>MELJON JACOB</c:v>
                </c:pt>
              </c:strCache>
            </c:strRef>
          </c:cat>
          <c:val>
            <c:numRef>
              <c:f>Analysis!$C$26:$C$32</c:f>
              <c:numCache>
                <c:formatCode>0.0</c:formatCode>
                <c:ptCount val="6"/>
                <c:pt idx="0">
                  <c:v>34.000749999999996</c:v>
                </c:pt>
                <c:pt idx="1">
                  <c:v>33.088749999999997</c:v>
                </c:pt>
                <c:pt idx="2">
                  <c:v>33.774250000000002</c:v>
                </c:pt>
                <c:pt idx="3">
                  <c:v>47.613</c:v>
                </c:pt>
                <c:pt idx="4">
                  <c:v>30.814750000000004</c:v>
                </c:pt>
                <c:pt idx="5">
                  <c:v>16.971</c:v>
                </c:pt>
              </c:numCache>
            </c:numRef>
          </c:val>
          <c:smooth val="0"/>
          <c:extLst>
            <c:ext xmlns:c16="http://schemas.microsoft.com/office/drawing/2014/chart" uri="{C3380CC4-5D6E-409C-BE32-E72D297353CC}">
              <c16:uniqueId val="{00000001-EA72-44EF-966B-9AAC9CA17BC6}"/>
            </c:ext>
          </c:extLst>
        </c:ser>
        <c:dLbls>
          <c:showLegendKey val="0"/>
          <c:showVal val="1"/>
          <c:showCatName val="0"/>
          <c:showSerName val="0"/>
          <c:showPercent val="0"/>
          <c:showBubbleSize val="0"/>
        </c:dLbls>
        <c:marker val="1"/>
        <c:smooth val="0"/>
        <c:axId val="992843263"/>
        <c:axId val="992844223"/>
      </c:lineChart>
      <c:catAx>
        <c:axId val="210940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407711"/>
        <c:crosses val="autoZero"/>
        <c:auto val="1"/>
        <c:lblAlgn val="ctr"/>
        <c:lblOffset val="100"/>
        <c:noMultiLvlLbl val="0"/>
      </c:catAx>
      <c:valAx>
        <c:axId val="2109407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409151"/>
        <c:crosses val="autoZero"/>
        <c:crossBetween val="between"/>
      </c:valAx>
      <c:valAx>
        <c:axId val="9928442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ATV</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843263"/>
        <c:crosses val="max"/>
        <c:crossBetween val="between"/>
      </c:valAx>
      <c:catAx>
        <c:axId val="992843263"/>
        <c:scaling>
          <c:orientation val="minMax"/>
        </c:scaling>
        <c:delete val="1"/>
        <c:axPos val="b"/>
        <c:numFmt formatCode="General" sourceLinked="1"/>
        <c:majorTickMark val="out"/>
        <c:minorTickMark val="none"/>
        <c:tickLblPos val="nextTo"/>
        <c:crossAx val="9928442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6666666666666718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00000000000000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05555555555555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3333333333334"/>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05555555555555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00000000000000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1.6666666666666718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0833333333333334"/>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05555555555555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00000000000000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0555555555555561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6666666666666718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BD-47EF-A5B3-06AFBF3A0E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BD-47EF-A5B3-06AFBF3A0E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BD-47EF-A5B3-06AFBF3A0E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BD-47EF-A5B3-06AFBF3A0E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BD-47EF-A5B3-06AFBF3A0E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BD-47EF-A5B3-06AFBF3A0E5F}"/>
              </c:ext>
            </c:extLst>
          </c:dPt>
          <c:dLbls>
            <c:dLbl>
              <c:idx val="0"/>
              <c:layout>
                <c:manualLayout>
                  <c:x val="0.10833333333333334"/>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BD-47EF-A5B3-06AFBF3A0E5F}"/>
                </c:ext>
              </c:extLst>
            </c:dLbl>
            <c:dLbl>
              <c:idx val="1"/>
              <c:layout>
                <c:manualLayout>
                  <c:x val="0.13055555555555556"/>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BD-47EF-A5B3-06AFBF3A0E5F}"/>
                </c:ext>
              </c:extLst>
            </c:dLbl>
            <c:dLbl>
              <c:idx val="2"/>
              <c:layout>
                <c:manualLayout>
                  <c:x val="-0.1361111111111111"/>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BD-47EF-A5B3-06AFBF3A0E5F}"/>
                </c:ext>
              </c:extLst>
            </c:dLbl>
            <c:dLbl>
              <c:idx val="3"/>
              <c:layout>
                <c:manualLayout>
                  <c:x val="-0.1000000000000000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BD-47EF-A5B3-06AFBF3A0E5F}"/>
                </c:ext>
              </c:extLst>
            </c:dLbl>
            <c:dLbl>
              <c:idx val="4"/>
              <c:layout>
                <c:manualLayout>
                  <c:x val="-8.0555555555555561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BD-47EF-A5B3-06AFBF3A0E5F}"/>
                </c:ext>
              </c:extLst>
            </c:dLbl>
            <c:dLbl>
              <c:idx val="5"/>
              <c:layout>
                <c:manualLayout>
                  <c:x val="-1.6666666666666718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BD-47EF-A5B3-06AFBF3A0E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Analysis!$A$4:$A$10</c:f>
              <c:strCache>
                <c:ptCount val="6"/>
                <c:pt idx="0">
                  <c:v>MYKA BALINGIT</c:v>
                </c:pt>
                <c:pt idx="1">
                  <c:v>Delivery</c:v>
                </c:pt>
                <c:pt idx="2">
                  <c:v>SUMITRA CHHETRI</c:v>
                </c:pt>
                <c:pt idx="3">
                  <c:v>Abdul Kalam Abdul Kalam</c:v>
                </c:pt>
                <c:pt idx="4">
                  <c:v>BIKASH TAMANG</c:v>
                </c:pt>
                <c:pt idx="5">
                  <c:v>MELJON JACOB</c:v>
                </c:pt>
              </c:strCache>
            </c:strRef>
          </c:cat>
          <c:val>
            <c:numRef>
              <c:f>Analysis!$B$4:$B$10</c:f>
              <c:numCache>
                <c:formatCode>[$AED]\ #,##0</c:formatCode>
                <c:ptCount val="6"/>
                <c:pt idx="0">
                  <c:v>19745.442500000001</c:v>
                </c:pt>
                <c:pt idx="1">
                  <c:v>12263.65</c:v>
                </c:pt>
                <c:pt idx="2">
                  <c:v>10997.275</c:v>
                </c:pt>
                <c:pt idx="3">
                  <c:v>10289.74</c:v>
                </c:pt>
                <c:pt idx="4">
                  <c:v>5601.6375000000007</c:v>
                </c:pt>
                <c:pt idx="5">
                  <c:v>4753.2650000000003</c:v>
                </c:pt>
              </c:numCache>
            </c:numRef>
          </c:val>
          <c:extLst>
            <c:ext xmlns:c16="http://schemas.microsoft.com/office/drawing/2014/chart" uri="{C3380CC4-5D6E-409C-BE32-E72D297353CC}">
              <c16:uniqueId val="{0000000C-68BD-47EF-A5B3-06AFBF3A0E5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t>
            </a:r>
            <a:r>
              <a:rPr lang="en-US" baseline="0"/>
              <a:t>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Analysis!$A$40:$A$44</c:f>
              <c:strCache>
                <c:ptCount val="4"/>
                <c:pt idx="0">
                  <c:v>Week 16</c:v>
                </c:pt>
                <c:pt idx="1">
                  <c:v>Week 19</c:v>
                </c:pt>
                <c:pt idx="2">
                  <c:v>Week 17</c:v>
                </c:pt>
                <c:pt idx="3">
                  <c:v>Week 18</c:v>
                </c:pt>
              </c:strCache>
            </c:strRef>
          </c:cat>
          <c:val>
            <c:numRef>
              <c:f>Analysis!$B$40:$B$44</c:f>
              <c:numCache>
                <c:formatCode>[$AED]\ #,##0</c:formatCode>
                <c:ptCount val="4"/>
                <c:pt idx="0">
                  <c:v>75369.25</c:v>
                </c:pt>
                <c:pt idx="1">
                  <c:v>61592.030000000006</c:v>
                </c:pt>
                <c:pt idx="2">
                  <c:v>61398.01</c:v>
                </c:pt>
                <c:pt idx="3">
                  <c:v>56244.749999999993</c:v>
                </c:pt>
              </c:numCache>
            </c:numRef>
          </c:val>
          <c:extLst>
            <c:ext xmlns:c16="http://schemas.microsoft.com/office/drawing/2014/chart" uri="{C3380CC4-5D6E-409C-BE32-E72D297353CC}">
              <c16:uniqueId val="{00000000-5BFF-49F5-8F38-876CD06ACE7B}"/>
            </c:ext>
          </c:extLst>
        </c:ser>
        <c:dLbls>
          <c:dLblPos val="outEnd"/>
          <c:showLegendKey val="0"/>
          <c:showVal val="1"/>
          <c:showCatName val="0"/>
          <c:showSerName val="0"/>
          <c:showPercent val="0"/>
          <c:showBubbleSize val="0"/>
        </c:dLbls>
        <c:gapWidth val="182"/>
        <c:axId val="895074959"/>
        <c:axId val="895077359"/>
      </c:barChart>
      <c:catAx>
        <c:axId val="895074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077359"/>
        <c:crosses val="autoZero"/>
        <c:auto val="1"/>
        <c:lblAlgn val="ctr"/>
        <c:lblOffset val="100"/>
        <c:noMultiLvlLbl val="0"/>
      </c:catAx>
      <c:valAx>
        <c:axId val="895077359"/>
        <c:scaling>
          <c:orientation val="minMax"/>
        </c:scaling>
        <c:delete val="0"/>
        <c:axPos val="b"/>
        <c:numFmt formatCode="[$AED]\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074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390525</xdr:colOff>
      <xdr:row>2</xdr:row>
      <xdr:rowOff>85725</xdr:rowOff>
    </xdr:from>
    <xdr:to>
      <xdr:col>2</xdr:col>
      <xdr:colOff>200025</xdr:colOff>
      <xdr:row>35</xdr:row>
      <xdr:rowOff>114300</xdr:rowOff>
    </xdr:to>
    <xdr:sp macro="" textlink="">
      <xdr:nvSpPr>
        <xdr:cNvPr id="2" name="Rectangle: Rounded Corners 1">
          <a:extLst>
            <a:ext uri="{FF2B5EF4-FFF2-40B4-BE49-F238E27FC236}">
              <a16:creationId xmlns:a16="http://schemas.microsoft.com/office/drawing/2014/main" id="{CCAD0E8C-8777-77F8-0093-DAC978309F09}"/>
            </a:ext>
          </a:extLst>
        </xdr:cNvPr>
        <xdr:cNvSpPr/>
      </xdr:nvSpPr>
      <xdr:spPr>
        <a:xfrm>
          <a:off x="390525" y="447675"/>
          <a:ext cx="1181100" cy="6000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6</xdr:col>
      <xdr:colOff>609601</xdr:colOff>
      <xdr:row>3</xdr:row>
      <xdr:rowOff>133350</xdr:rowOff>
    </xdr:from>
    <xdr:to>
      <xdr:col>11</xdr:col>
      <xdr:colOff>190501</xdr:colOff>
      <xdr:row>6</xdr:row>
      <xdr:rowOff>114300</xdr:rowOff>
    </xdr:to>
    <xdr:sp macro="" textlink="adtv">
      <xdr:nvSpPr>
        <xdr:cNvPr id="4" name="Rectangle: Rounded Corners 3">
          <a:extLst>
            <a:ext uri="{FF2B5EF4-FFF2-40B4-BE49-F238E27FC236}">
              <a16:creationId xmlns:a16="http://schemas.microsoft.com/office/drawing/2014/main" id="{C6873914-FDB8-2874-203D-D88DA03C1F9A}"/>
            </a:ext>
          </a:extLst>
        </xdr:cNvPr>
        <xdr:cNvSpPr/>
      </xdr:nvSpPr>
      <xdr:spPr>
        <a:xfrm>
          <a:off x="4724401" y="676275"/>
          <a:ext cx="3009900"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4EF590D-4CE5-4EB9-B62B-90F6F05BBAD2}" type="TxLink">
            <a:rPr lang="en-US" sz="2000" b="0" i="0" u="none" strike="noStrike" kern="1200">
              <a:solidFill>
                <a:schemeClr val="bg2"/>
              </a:solidFill>
              <a:latin typeface="Arial"/>
              <a:cs typeface="Arial"/>
            </a:rPr>
            <a:pPr algn="ctr"/>
            <a:t>7092</a:t>
          </a:fld>
          <a:endParaRPr lang="en-US" sz="2000" kern="1200">
            <a:solidFill>
              <a:schemeClr val="bg2"/>
            </a:solidFill>
          </a:endParaRPr>
        </a:p>
      </xdr:txBody>
    </xdr:sp>
    <xdr:clientData/>
  </xdr:twoCellAnchor>
  <xdr:twoCellAnchor>
    <xdr:from>
      <xdr:col>11</xdr:col>
      <xdr:colOff>219075</xdr:colOff>
      <xdr:row>3</xdr:row>
      <xdr:rowOff>123825</xdr:rowOff>
    </xdr:from>
    <xdr:to>
      <xdr:col>15</xdr:col>
      <xdr:colOff>314326</xdr:colOff>
      <xdr:row>6</xdr:row>
      <xdr:rowOff>104775</xdr:rowOff>
    </xdr:to>
    <xdr:sp macro="" textlink="atvt">
      <xdr:nvSpPr>
        <xdr:cNvPr id="5" name="Rectangle: Rounded Corners 4">
          <a:extLst>
            <a:ext uri="{FF2B5EF4-FFF2-40B4-BE49-F238E27FC236}">
              <a16:creationId xmlns:a16="http://schemas.microsoft.com/office/drawing/2014/main" id="{4F64514D-216B-BF03-98A0-74818E3F44A8}"/>
            </a:ext>
          </a:extLst>
        </xdr:cNvPr>
        <xdr:cNvSpPr/>
      </xdr:nvSpPr>
      <xdr:spPr>
        <a:xfrm>
          <a:off x="7762875" y="666750"/>
          <a:ext cx="2838451"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F78906-711C-4099-939B-97043DCCDD70}" type="TxLink">
            <a:rPr lang="en-US" sz="1800" b="0" i="0" u="none" strike="noStrike" kern="1200">
              <a:solidFill>
                <a:schemeClr val="bg2"/>
              </a:solidFill>
              <a:latin typeface="Arial"/>
              <a:cs typeface="Arial"/>
            </a:rPr>
            <a:pPr algn="ctr"/>
            <a:t>32.7</a:t>
          </a:fld>
          <a:endParaRPr lang="en-US" sz="1800" kern="1200">
            <a:solidFill>
              <a:schemeClr val="bg2"/>
            </a:solidFill>
          </a:endParaRPr>
        </a:p>
      </xdr:txBody>
    </xdr:sp>
    <xdr:clientData/>
  </xdr:twoCellAnchor>
  <xdr:twoCellAnchor>
    <xdr:from>
      <xdr:col>2</xdr:col>
      <xdr:colOff>219075</xdr:colOff>
      <xdr:row>6</xdr:row>
      <xdr:rowOff>152400</xdr:rowOff>
    </xdr:from>
    <xdr:to>
      <xdr:col>8</xdr:col>
      <xdr:colOff>581025</xdr:colOff>
      <xdr:row>21</xdr:row>
      <xdr:rowOff>142875</xdr:rowOff>
    </xdr:to>
    <xdr:graphicFrame macro="">
      <xdr:nvGraphicFramePr>
        <xdr:cNvPr id="11" name="Chart 10">
          <a:extLst>
            <a:ext uri="{FF2B5EF4-FFF2-40B4-BE49-F238E27FC236}">
              <a16:creationId xmlns:a16="http://schemas.microsoft.com/office/drawing/2014/main" id="{39165B2F-286B-41D0-A8D7-94880553B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619125</xdr:colOff>
      <xdr:row>6</xdr:row>
      <xdr:rowOff>123825</xdr:rowOff>
    </xdr:from>
    <xdr:to>
      <xdr:col>15</xdr:col>
      <xdr:colOff>390525</xdr:colOff>
      <xdr:row>21</xdr:row>
      <xdr:rowOff>152400</xdr:rowOff>
    </xdr:to>
    <xdr:graphicFrame macro="">
      <xdr:nvGraphicFramePr>
        <xdr:cNvPr id="12" name="Chart 11">
          <a:extLst>
            <a:ext uri="{FF2B5EF4-FFF2-40B4-BE49-F238E27FC236}">
              <a16:creationId xmlns:a16="http://schemas.microsoft.com/office/drawing/2014/main" id="{7B5FD593-54B5-4A3F-8C6D-2C53D0961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247650</xdr:colOff>
      <xdr:row>21</xdr:row>
      <xdr:rowOff>152401</xdr:rowOff>
    </xdr:from>
    <xdr:to>
      <xdr:col>8</xdr:col>
      <xdr:colOff>571500</xdr:colOff>
      <xdr:row>35</xdr:row>
      <xdr:rowOff>95251</xdr:rowOff>
    </xdr:to>
    <xdr:graphicFrame macro="">
      <xdr:nvGraphicFramePr>
        <xdr:cNvPr id="13" name="Chart 12">
          <a:extLst>
            <a:ext uri="{FF2B5EF4-FFF2-40B4-BE49-F238E27FC236}">
              <a16:creationId xmlns:a16="http://schemas.microsoft.com/office/drawing/2014/main" id="{10AD3219-F2A7-42CA-8D8F-E0C7ED803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590550</xdr:colOff>
      <xdr:row>21</xdr:row>
      <xdr:rowOff>152400</xdr:rowOff>
    </xdr:from>
    <xdr:to>
      <xdr:col>15</xdr:col>
      <xdr:colOff>314325</xdr:colOff>
      <xdr:row>35</xdr:row>
      <xdr:rowOff>123825</xdr:rowOff>
    </xdr:to>
    <xdr:graphicFrame macro="">
      <xdr:nvGraphicFramePr>
        <xdr:cNvPr id="15" name="Chart 14">
          <a:extLst>
            <a:ext uri="{FF2B5EF4-FFF2-40B4-BE49-F238E27FC236}">
              <a16:creationId xmlns:a16="http://schemas.microsoft.com/office/drawing/2014/main" id="{FD9BCF3F-0EBE-4F81-A508-7BC18A715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428625</xdr:colOff>
      <xdr:row>9</xdr:row>
      <xdr:rowOff>0</xdr:rowOff>
    </xdr:from>
    <xdr:to>
      <xdr:col>2</xdr:col>
      <xdr:colOff>190500</xdr:colOff>
      <xdr:row>16</xdr:row>
      <xdr:rowOff>123825</xdr:rowOff>
    </xdr:to>
    <mc:AlternateContent xmlns:mc="http://schemas.openxmlformats.org/markup-compatibility/2006" xmlns:a14="http://schemas.microsoft.com/office/drawing/2010/main">
      <mc:Choice Requires="a14">
        <xdr:graphicFrame macro="">
          <xdr:nvGraphicFramePr>
            <xdr:cNvPr id="16" name="Week">
              <a:extLst>
                <a:ext uri="{FF2B5EF4-FFF2-40B4-BE49-F238E27FC236}">
                  <a16:creationId xmlns:a16="http://schemas.microsoft.com/office/drawing/2014/main" id="{CC3EF6BF-DE4A-43A6-AF74-1CE5D97B59B4}"/>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428625" y="1628775"/>
              <a:ext cx="1133475"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409575</xdr:colOff>
      <xdr:row>16</xdr:row>
      <xdr:rowOff>133349</xdr:rowOff>
    </xdr:from>
    <xdr:to>
      <xdr:col>2</xdr:col>
      <xdr:colOff>190500</xdr:colOff>
      <xdr:row>29</xdr:row>
      <xdr:rowOff>113569</xdr:rowOff>
    </xdr:to>
    <mc:AlternateContent xmlns:mc="http://schemas.openxmlformats.org/markup-compatibility/2006" xmlns:a14="http://schemas.microsoft.com/office/drawing/2010/main">
      <mc:Choice Requires="a14">
        <xdr:graphicFrame macro="">
          <xdr:nvGraphicFramePr>
            <xdr:cNvPr id="17" name="Employee Name">
              <a:extLst>
                <a:ext uri="{FF2B5EF4-FFF2-40B4-BE49-F238E27FC236}">
                  <a16:creationId xmlns:a16="http://schemas.microsoft.com/office/drawing/2014/main" id="{863CD95C-B3ED-4ED5-AED7-D54150EEC79A}"/>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409575" y="3028949"/>
              <a:ext cx="1152525" cy="2332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409575</xdr:colOff>
      <xdr:row>29</xdr:row>
      <xdr:rowOff>133350</xdr:rowOff>
    </xdr:from>
    <xdr:to>
      <xdr:col>2</xdr:col>
      <xdr:colOff>180975</xdr:colOff>
      <xdr:row>35</xdr:row>
      <xdr:rowOff>38100</xdr:rowOff>
    </xdr:to>
    <xdr:pic>
      <xdr:nvPicPr>
        <xdr:cNvPr id="19" name="Picture 18" descr="People doing teamwork illustration">
          <a:extLst>
            <a:ext uri="{FF2B5EF4-FFF2-40B4-BE49-F238E27FC236}">
              <a16:creationId xmlns:a16="http://schemas.microsoft.com/office/drawing/2014/main" id="{2FEE3738-AB5B-C8C4-EDCE-602B15CB223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09575" y="5381625"/>
          <a:ext cx="1143000" cy="990600"/>
        </a:xfrm>
        <a:prstGeom prst="rect">
          <a:avLst/>
        </a:prstGeom>
      </xdr:spPr>
    </xdr:pic>
    <xdr:clientData/>
  </xdr:twoCellAnchor>
  <xdr:twoCellAnchor>
    <xdr:from>
      <xdr:col>2</xdr:col>
      <xdr:colOff>314325</xdr:colOff>
      <xdr:row>1</xdr:row>
      <xdr:rowOff>123825</xdr:rowOff>
    </xdr:from>
    <xdr:to>
      <xdr:col>2</xdr:col>
      <xdr:colOff>360044</xdr:colOff>
      <xdr:row>1</xdr:row>
      <xdr:rowOff>169544</xdr:rowOff>
    </xdr:to>
    <xdr:sp macro="" textlink="">
      <xdr:nvSpPr>
        <xdr:cNvPr id="21" name="TextBox 20">
          <a:extLst>
            <a:ext uri="{FF2B5EF4-FFF2-40B4-BE49-F238E27FC236}">
              <a16:creationId xmlns:a16="http://schemas.microsoft.com/office/drawing/2014/main" id="{3F35F035-AA9F-2FFC-026D-49D9169B517C}"/>
            </a:ext>
          </a:extLst>
        </xdr:cNvPr>
        <xdr:cNvSpPr txBox="1"/>
      </xdr:nvSpPr>
      <xdr:spPr>
        <a:xfrm>
          <a:off x="1685925" y="30480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kern="1200"/>
        </a:p>
      </xdr:txBody>
    </xdr:sp>
    <xdr:clientData/>
  </xdr:twoCellAnchor>
  <xdr:twoCellAnchor>
    <xdr:from>
      <xdr:col>2</xdr:col>
      <xdr:colOff>295276</xdr:colOff>
      <xdr:row>0</xdr:row>
      <xdr:rowOff>114300</xdr:rowOff>
    </xdr:from>
    <xdr:to>
      <xdr:col>15</xdr:col>
      <xdr:colOff>295276</xdr:colOff>
      <xdr:row>3</xdr:row>
      <xdr:rowOff>95250</xdr:rowOff>
    </xdr:to>
    <xdr:sp macro="" textlink="">
      <xdr:nvSpPr>
        <xdr:cNvPr id="22" name="Rectangle: Rounded Corners 21">
          <a:extLst>
            <a:ext uri="{FF2B5EF4-FFF2-40B4-BE49-F238E27FC236}">
              <a16:creationId xmlns:a16="http://schemas.microsoft.com/office/drawing/2014/main" id="{C8A47A1C-5702-4FCD-CB02-971E32953CF6}"/>
            </a:ext>
          </a:extLst>
        </xdr:cNvPr>
        <xdr:cNvSpPr/>
      </xdr:nvSpPr>
      <xdr:spPr>
        <a:xfrm>
          <a:off x="1666876" y="114300"/>
          <a:ext cx="8915400"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kern="1200"/>
            <a:t>PARTNER</a:t>
          </a:r>
          <a:r>
            <a:rPr lang="en-US" sz="2800" kern="1200" baseline="0"/>
            <a:t> PRODUCTIVITY DASHBOARD</a:t>
          </a:r>
          <a:endParaRPr lang="en-US" sz="2800" kern="1200"/>
        </a:p>
      </xdr:txBody>
    </xdr:sp>
    <xdr:clientData/>
  </xdr:twoCellAnchor>
  <xdr:twoCellAnchor>
    <xdr:from>
      <xdr:col>2</xdr:col>
      <xdr:colOff>342901</xdr:colOff>
      <xdr:row>3</xdr:row>
      <xdr:rowOff>114300</xdr:rowOff>
    </xdr:from>
    <xdr:to>
      <xdr:col>6</xdr:col>
      <xdr:colOff>609601</xdr:colOff>
      <xdr:row>6</xdr:row>
      <xdr:rowOff>95250</xdr:rowOff>
    </xdr:to>
    <xdr:sp macro="" textlink="total">
      <xdr:nvSpPr>
        <xdr:cNvPr id="24" name="Rectangle: Rounded Corners 23">
          <a:extLst>
            <a:ext uri="{FF2B5EF4-FFF2-40B4-BE49-F238E27FC236}">
              <a16:creationId xmlns:a16="http://schemas.microsoft.com/office/drawing/2014/main" id="{7BECECB2-A862-C85C-2E3A-417CE1EFF16B}"/>
            </a:ext>
          </a:extLst>
        </xdr:cNvPr>
        <xdr:cNvSpPr/>
      </xdr:nvSpPr>
      <xdr:spPr>
        <a:xfrm>
          <a:off x="1714501" y="657225"/>
          <a:ext cx="3009900" cy="523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FD86AA-9726-4F10-9D01-8311C4D09BBE}" type="TxLink">
            <a:rPr lang="en-US" sz="1800" b="0" i="0" u="none" strike="noStrike" kern="1200">
              <a:solidFill>
                <a:schemeClr val="bg2"/>
              </a:solidFill>
              <a:latin typeface="Arial"/>
              <a:cs typeface="Arial"/>
            </a:rPr>
            <a:pPr algn="ctr"/>
            <a:t>AED 254,604</a:t>
          </a:fld>
          <a:endParaRPr lang="en-US" sz="1800" kern="1200">
            <a:solidFill>
              <a:schemeClr val="bg2"/>
            </a:solidFill>
          </a:endParaRPr>
        </a:p>
      </xdr:txBody>
    </xdr:sp>
    <xdr:clientData/>
  </xdr:twoCellAnchor>
  <xdr:twoCellAnchor editAs="oneCell">
    <xdr:from>
      <xdr:col>0</xdr:col>
      <xdr:colOff>390525</xdr:colOff>
      <xdr:row>2</xdr:row>
      <xdr:rowOff>85725</xdr:rowOff>
    </xdr:from>
    <xdr:to>
      <xdr:col>2</xdr:col>
      <xdr:colOff>207645</xdr:colOff>
      <xdr:row>9</xdr:row>
      <xdr:rowOff>20996</xdr:rowOff>
    </xdr:to>
    <xdr:pic>
      <xdr:nvPicPr>
        <xdr:cNvPr id="29" name="Picture 28">
          <a:extLst>
            <a:ext uri="{FF2B5EF4-FFF2-40B4-BE49-F238E27FC236}">
              <a16:creationId xmlns:a16="http://schemas.microsoft.com/office/drawing/2014/main" id="{C04E8BF1-6647-4A9E-A710-00B405E7CF5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90525" y="447675"/>
          <a:ext cx="1188720" cy="1202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55.827205439811" createdVersion="8" refreshedVersion="8" minRefreshableVersion="3" recordCount="24" xr:uid="{3692E0E6-452F-4169-8AC9-B72FDFC0966D}">
  <cacheSource type="worksheet">
    <worksheetSource name="Emp_Productivity"/>
  </cacheSource>
  <cacheFields count="7">
    <cacheField name="Week" numFmtId="0">
      <sharedItems count="4">
        <s v="Week 16"/>
        <s v="Week 17"/>
        <s v="Week 18"/>
        <s v="Week 19"/>
      </sharedItems>
    </cacheField>
    <cacheField name="Employee Name" numFmtId="0">
      <sharedItems count="13">
        <s v="MYKA BALINGIT"/>
        <s v="Delivery"/>
        <s v="Abdul Kalam Abdul Kalam"/>
        <s v="BIKASH TAMANG"/>
        <s v="SUMITRA CHHETRI"/>
        <s v="MELJON JACOB"/>
        <s v="Uzair Robin" u="1"/>
        <s v="BURUHANI MUTEBI BURUHANI MUTEBI" u="1"/>
        <s v="MEHMOOD TALHA M" u="1"/>
        <s v="Mohamed Fathi Elsoghier " u="1"/>
        <s v="SALEENA SHRESTHA" u="1"/>
        <s v="Wazir Khan" u="1"/>
        <s v="E TOLENTINO-322367 MARK JAYSON" u="1"/>
      </sharedItems>
    </cacheField>
    <cacheField name="Gross Sales After Discounts" numFmtId="0">
      <sharedItems containsSemiMixedTypes="0" containsString="0" containsNumber="1" minValue="0" maxValue="25094.400000000001"/>
    </cacheField>
    <cacheField name="All Check Count" numFmtId="0">
      <sharedItems containsSemiMixedTypes="0" containsString="0" containsNumber="1" containsInteger="1" minValue="0" maxValue="759"/>
    </cacheField>
    <cacheField name="Service Charges" numFmtId="0">
      <sharedItems containsSemiMixedTypes="0" containsString="0" containsNumber="1" containsInteger="1" minValue="0" maxValue="0"/>
    </cacheField>
    <cacheField name="Discounts" numFmtId="0">
      <sharedItems containsSemiMixedTypes="0" containsString="0" containsNumber="1" minValue="-2533.1" maxValue="0"/>
    </cacheField>
    <cacheField name="Average Check" numFmtId="0">
      <sharedItems containsSemiMixedTypes="0" containsString="0" containsNumber="1" minValue="0" maxValue="50.085999999999999"/>
    </cacheField>
  </cacheFields>
  <extLst>
    <ext xmlns:x14="http://schemas.microsoft.com/office/spreadsheetml/2009/9/main" uri="{725AE2AE-9491-48be-B2B4-4EB974FC3084}">
      <x14:pivotCacheDefinition pivotCacheId="1559607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25094.400000000001"/>
    <n v="738"/>
    <n v="0"/>
    <n v="-2533.1"/>
    <n v="34.003"/>
  </r>
  <r>
    <x v="0"/>
    <x v="1"/>
    <n v="14625"/>
    <n v="292"/>
    <n v="0"/>
    <n v="-4.5999999999999996"/>
    <n v="50.085999999999999"/>
  </r>
  <r>
    <x v="0"/>
    <x v="2"/>
    <n v="13676.85"/>
    <n v="335"/>
    <n v="0"/>
    <n v="-1183.6500000000001"/>
    <n v="40.826000000000001"/>
  </r>
  <r>
    <x v="0"/>
    <x v="3"/>
    <n v="12696.25"/>
    <n v="360"/>
    <n v="0"/>
    <n v="-1095.25"/>
    <n v="35.267000000000003"/>
  </r>
  <r>
    <x v="0"/>
    <x v="4"/>
    <n v="5045.3"/>
    <n v="155"/>
    <n v="0"/>
    <n v="-380.7"/>
    <n v="32.549999999999997"/>
  </r>
  <r>
    <x v="0"/>
    <x v="5"/>
    <n v="4231.45"/>
    <n v="136"/>
    <n v="0"/>
    <n v="-468.05"/>
    <n v="31.114000000000001"/>
  </r>
  <r>
    <x v="1"/>
    <x v="0"/>
    <n v="23448.82"/>
    <n v="724"/>
    <n v="0"/>
    <n v="-2169.6799999999998"/>
    <n v="32.387999999999998"/>
  </r>
  <r>
    <x v="1"/>
    <x v="2"/>
    <n v="18858.79"/>
    <n v="541"/>
    <n v="0"/>
    <n v="-2042.96"/>
    <n v="34.859000000000002"/>
  </r>
  <r>
    <x v="1"/>
    <x v="1"/>
    <n v="11479.8"/>
    <n v="246"/>
    <n v="0"/>
    <n v="0"/>
    <n v="46.665999999999997"/>
  </r>
  <r>
    <x v="1"/>
    <x v="3"/>
    <n v="4878.7"/>
    <n v="163"/>
    <n v="0"/>
    <n v="-486.3"/>
    <n v="29.931000000000001"/>
  </r>
  <r>
    <x v="1"/>
    <x v="4"/>
    <n v="2731.9"/>
    <n v="81"/>
    <n v="0"/>
    <n v="-345.6"/>
    <n v="33.726999999999997"/>
  </r>
  <r>
    <x v="1"/>
    <x v="5"/>
    <n v="0"/>
    <n v="0"/>
    <n v="0"/>
    <n v="0"/>
    <n v="0"/>
  </r>
  <r>
    <x v="2"/>
    <x v="4"/>
    <n v="24898.6"/>
    <n v="759"/>
    <n v="0"/>
    <n v="-2129.4"/>
    <n v="32.804000000000002"/>
  </r>
  <r>
    <x v="2"/>
    <x v="0"/>
    <n v="13433.5"/>
    <n v="388"/>
    <n v="0"/>
    <n v="-1035.5"/>
    <n v="34.622"/>
  </r>
  <r>
    <x v="2"/>
    <x v="1"/>
    <n v="11407.3"/>
    <n v="240"/>
    <n v="0"/>
    <n v="-36"/>
    <n v="47.53"/>
  </r>
  <r>
    <x v="2"/>
    <x v="2"/>
    <n v="5234.45"/>
    <n v="183"/>
    <n v="0"/>
    <n v="-529.54999999999995"/>
    <n v="28.603999999999999"/>
  </r>
  <r>
    <x v="2"/>
    <x v="3"/>
    <n v="1270.9000000000001"/>
    <n v="46"/>
    <n v="0"/>
    <n v="-71.099999999999994"/>
    <n v="27.628"/>
  </r>
  <r>
    <x v="2"/>
    <x v="5"/>
    <n v="0"/>
    <n v="0"/>
    <n v="0"/>
    <n v="0"/>
    <n v="0"/>
  </r>
  <r>
    <x v="3"/>
    <x v="0"/>
    <n v="17005.05"/>
    <n v="486"/>
    <n v="0"/>
    <n v="-1539.7"/>
    <n v="34.99"/>
  </r>
  <r>
    <x v="3"/>
    <x v="5"/>
    <n v="14781.61"/>
    <n v="402"/>
    <n v="0"/>
    <n v="-1386.64"/>
    <n v="36.770000000000003"/>
  </r>
  <r>
    <x v="3"/>
    <x v="1"/>
    <n v="11542.5"/>
    <n v="250"/>
    <n v="0"/>
    <n v="-68.5"/>
    <n v="46.17"/>
  </r>
  <r>
    <x v="3"/>
    <x v="4"/>
    <n v="11313.3"/>
    <n v="340"/>
    <n v="0"/>
    <n v="-1065.7"/>
    <n v="33.274000000000001"/>
  </r>
  <r>
    <x v="3"/>
    <x v="3"/>
    <n v="3560.7"/>
    <n v="117"/>
    <n v="0"/>
    <n v="-273.3"/>
    <n v="30.433"/>
  </r>
  <r>
    <x v="3"/>
    <x v="2"/>
    <n v="3388.87"/>
    <n v="110"/>
    <n v="0"/>
    <n v="-203.63"/>
    <n v="30.8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CDE5D9-8593-43C7-AFE1-717F63B6066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eek">
  <location ref="B51:G59" firstHeaderRow="1" firstDataRow="2" firstDataCol="1"/>
  <pivotFields count="7">
    <pivotField axis="axisCol"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axis="axisRow" showAll="0">
      <items count="14">
        <item x="2"/>
        <item x="3"/>
        <item m="1" x="7"/>
        <item x="1"/>
        <item m="1" x="12"/>
        <item m="1" x="8"/>
        <item x="5"/>
        <item m="1" x="9"/>
        <item x="0"/>
        <item m="1" x="10"/>
        <item x="4"/>
        <item m="1" x="6"/>
        <item m="1" x="11"/>
        <item t="default"/>
      </items>
    </pivotField>
    <pivotField dataField="1" showAll="0"/>
    <pivotField showAll="0"/>
    <pivotField showAll="0"/>
    <pivotField showAll="0"/>
    <pivotField showAll="0"/>
  </pivotFields>
  <rowFields count="1">
    <field x="1"/>
  </rowFields>
  <rowItems count="7">
    <i>
      <x/>
    </i>
    <i>
      <x v="1"/>
    </i>
    <i>
      <x v="3"/>
    </i>
    <i>
      <x v="6"/>
    </i>
    <i>
      <x v="8"/>
    </i>
    <i>
      <x v="10"/>
    </i>
    <i t="grand">
      <x/>
    </i>
  </rowItems>
  <colFields count="1">
    <field x="0"/>
  </colFields>
  <colItems count="5">
    <i>
      <x/>
    </i>
    <i>
      <x v="3"/>
    </i>
    <i>
      <x v="1"/>
    </i>
    <i>
      <x v="2"/>
    </i>
    <i t="grand">
      <x/>
    </i>
  </colItems>
  <dataFields count="1">
    <dataField name="Net Sales" fld="2" baseField="0" baseItem="0"/>
  </dataFields>
  <chartFormats count="4">
    <chartFormat chart="6" format="8" series="1">
      <pivotArea type="data" outline="0" fieldPosition="0">
        <references count="2">
          <reference field="4294967294" count="1" selected="0">
            <x v="0"/>
          </reference>
          <reference field="0" count="1" selected="0">
            <x v="0"/>
          </reference>
        </references>
      </pivotArea>
    </chartFormat>
    <chartFormat chart="6" format="9" series="1">
      <pivotArea type="data" outline="0" fieldPosition="0">
        <references count="2">
          <reference field="4294967294" count="1" selected="0">
            <x v="0"/>
          </reference>
          <reference field="0" count="1" selected="0">
            <x v="3"/>
          </reference>
        </references>
      </pivotArea>
    </chartFormat>
    <chartFormat chart="6" format="10" series="1">
      <pivotArea type="data" outline="0" fieldPosition="0">
        <references count="2">
          <reference field="4294967294" count="1" selected="0">
            <x v="0"/>
          </reference>
          <reference field="0" count="1" selected="0">
            <x v="1"/>
          </reference>
        </references>
      </pivotArea>
    </chartFormat>
    <chartFormat chart="6" format="11"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86E423-AECE-4349-9576-A6C0A7F00E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eek">
  <location ref="A39:B44" firstHeaderRow="1" firstDataRow="1" firstDataCol="1"/>
  <pivotFields count="7">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14">
        <item x="2"/>
        <item x="3"/>
        <item m="1" x="7"/>
        <item x="1"/>
        <item m="1" x="12"/>
        <item m="1" x="8"/>
        <item x="5"/>
        <item m="1" x="9"/>
        <item x="0"/>
        <item m="1" x="10"/>
        <item x="4"/>
        <item m="1" x="6"/>
        <item m="1" x="11"/>
        <item t="default"/>
      </items>
    </pivotField>
    <pivotField dataField="1" showAll="0"/>
    <pivotField showAll="0"/>
    <pivotField showAll="0"/>
    <pivotField showAll="0"/>
    <pivotField showAll="0"/>
  </pivotFields>
  <rowFields count="1">
    <field x="0"/>
  </rowFields>
  <rowItems count="5">
    <i>
      <x/>
    </i>
    <i>
      <x v="3"/>
    </i>
    <i>
      <x v="1"/>
    </i>
    <i>
      <x v="2"/>
    </i>
    <i t="grand">
      <x/>
    </i>
  </rowItems>
  <colItems count="1">
    <i/>
  </colItems>
  <dataFields count="1">
    <dataField name="Net Sales" fld="2"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FC3972-EDEB-409F-BDAB-F99209BC6F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
  <location ref="B65:B66" firstHeaderRow="1" firstDataRow="1" firstDataCol="0"/>
  <pivotFields count="7">
    <pivotField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14">
        <item x="2"/>
        <item x="3"/>
        <item m="1" x="7"/>
        <item x="1"/>
        <item m="1" x="12"/>
        <item m="1" x="8"/>
        <item x="5"/>
        <item m="1" x="9"/>
        <item x="0"/>
        <item m="1" x="10"/>
        <item x="4"/>
        <item m="1" x="6"/>
        <item m="1" x="11"/>
        <item t="default"/>
      </items>
    </pivotField>
    <pivotField dataField="1" showAll="0"/>
    <pivotField showAll="0"/>
    <pivotField showAll="0"/>
    <pivotField showAll="0"/>
    <pivotField showAll="0"/>
  </pivotFields>
  <rowItems count="1">
    <i/>
  </rowItems>
  <colItems count="1">
    <i/>
  </colItems>
  <dataFields count="1">
    <dataField name="Net Sales" fld="2" baseField="0" baseItem="0" numFmtId="165"/>
  </dataFields>
  <formats count="6">
    <format dxfId="7">
      <pivotArea type="all" dataOnly="0"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63FCC-609D-42C2-81A4-B3E54090651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
  <location ref="B72:B73" firstHeaderRow="1" firstDataRow="1" firstDataCol="0"/>
  <pivotFields count="7">
    <pivotField showAll="0">
      <items count="5">
        <item x="0"/>
        <item x="1"/>
        <item x="2"/>
        <item x="3"/>
        <item t="default"/>
      </items>
    </pivotField>
    <pivotField showAll="0">
      <items count="14">
        <item x="2"/>
        <item x="3"/>
        <item m="1" x="7"/>
        <item x="1"/>
        <item m="1" x="12"/>
        <item m="1" x="8"/>
        <item x="5"/>
        <item m="1" x="9"/>
        <item x="0"/>
        <item m="1" x="10"/>
        <item x="4"/>
        <item m="1" x="6"/>
        <item m="1" x="11"/>
        <item t="default"/>
      </items>
    </pivotField>
    <pivotField showAll="0"/>
    <pivotField showAll="0"/>
    <pivotField showAll="0"/>
    <pivotField showAll="0"/>
    <pivotField dataField="1" showAll="0"/>
  </pivotFields>
  <rowItems count="1">
    <i/>
  </rowItems>
  <colItems count="1">
    <i/>
  </colItems>
  <dataFields count="1">
    <dataField name="ATV" fld="6" subtotal="average" baseField="0" baseItem="0" numFmtId="164"/>
  </dataFields>
  <formats count="6">
    <format dxfId="13">
      <pivotArea type="all" dataOnly="0" outline="0"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661C6E-0AD6-4629-845F-97013196ABA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ek">
  <location ref="B69:B70" firstHeaderRow="1" firstDataRow="1" firstDataCol="0"/>
  <pivotFields count="7">
    <pivotField showAll="0">
      <items count="5">
        <item x="0"/>
        <item x="1"/>
        <item x="2"/>
        <item x="3"/>
        <item t="default"/>
      </items>
    </pivotField>
    <pivotField showAll="0">
      <items count="14">
        <item x="2"/>
        <item x="3"/>
        <item m="1" x="7"/>
        <item x="1"/>
        <item m="1" x="12"/>
        <item m="1" x="8"/>
        <item x="5"/>
        <item m="1" x="9"/>
        <item x="0"/>
        <item m="1" x="10"/>
        <item x="4"/>
        <item m="1" x="6"/>
        <item m="1" x="11"/>
        <item t="default"/>
      </items>
    </pivotField>
    <pivotField showAll="0"/>
    <pivotField dataField="1" showAll="0"/>
    <pivotField showAll="0"/>
    <pivotField showAll="0"/>
    <pivotField showAll="0"/>
  </pivotFields>
  <rowItems count="1">
    <i/>
  </rowItems>
  <colItems count="1">
    <i/>
  </colItems>
  <dataFields count="1">
    <dataField name="Total ADT" fld="3" baseField="0" baseItem="0"/>
  </dataFields>
  <formats count="6">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4EC4EB-633C-4418-9A1F-FB8ACBE78E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rtner Name">
  <location ref="A25:C32" firstHeaderRow="0" firstDataRow="1" firstDataCol="1"/>
  <pivotFields count="7">
    <pivotField showAll="0">
      <items count="5">
        <item x="0"/>
        <item x="1"/>
        <item x="2"/>
        <item x="3"/>
        <item t="default"/>
      </items>
    </pivotField>
    <pivotField axis="axisRow" showAll="0" sortType="descending">
      <items count="14">
        <item x="2"/>
        <item x="3"/>
        <item m="1" x="7"/>
        <item x="1"/>
        <item m="1" x="12"/>
        <item m="1" x="8"/>
        <item x="5"/>
        <item m="1" x="9"/>
        <item x="0"/>
        <item m="1" x="10"/>
        <item x="4"/>
        <item m="1" x="6"/>
        <item m="1"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dataField="1" showAll="0"/>
  </pivotFields>
  <rowFields count="1">
    <field x="1"/>
  </rowFields>
  <rowItems count="7">
    <i>
      <x v="8"/>
    </i>
    <i>
      <x v="10"/>
    </i>
    <i>
      <x/>
    </i>
    <i>
      <x v="3"/>
    </i>
    <i>
      <x v="1"/>
    </i>
    <i>
      <x v="6"/>
    </i>
    <i t="grand">
      <x/>
    </i>
  </rowItems>
  <colFields count="1">
    <field x="-2"/>
  </colFields>
  <colItems count="2">
    <i>
      <x/>
    </i>
    <i i="1">
      <x v="1"/>
    </i>
  </colItems>
  <dataFields count="2">
    <dataField name="ADT" fld="3" baseField="0" baseItem="0"/>
    <dataField name="ATV" fld="6" subtotal="average" baseField="0" baseItem="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879A80-16BC-4910-AF03-9120C67587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rtner Name">
  <location ref="A14:B21" firstHeaderRow="1" firstDataRow="1" firstDataCol="1"/>
  <pivotFields count="7">
    <pivotField showAll="0">
      <items count="5">
        <item x="0"/>
        <item x="1"/>
        <item x="2"/>
        <item x="3"/>
        <item t="default"/>
      </items>
    </pivotField>
    <pivotField axis="axisRow" showAll="0" sortType="descending">
      <items count="14">
        <item x="2"/>
        <item x="3"/>
        <item m="1" x="7"/>
        <item x="1"/>
        <item m="1" x="12"/>
        <item m="1" x="8"/>
        <item x="5"/>
        <item m="1" x="9"/>
        <item x="0"/>
        <item m="1" x="10"/>
        <item x="4"/>
        <item m="1" x="6"/>
        <item m="1"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1"/>
  </rowFields>
  <rowItems count="7">
    <i>
      <x v="8"/>
    </i>
    <i>
      <x v="3"/>
    </i>
    <i>
      <x v="10"/>
    </i>
    <i>
      <x/>
    </i>
    <i>
      <x v="1"/>
    </i>
    <i>
      <x v="6"/>
    </i>
    <i t="grand">
      <x/>
    </i>
  </rowItems>
  <colItems count="1">
    <i/>
  </colItems>
  <dataFields count="1">
    <dataField name="Net Sales " fld="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805C29-547A-478B-821E-BEC837271F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rtner Name">
  <location ref="A3:B10" firstHeaderRow="1" firstDataRow="1" firstDataCol="1"/>
  <pivotFields count="7">
    <pivotField showAll="0">
      <items count="5">
        <item x="0"/>
        <item x="1"/>
        <item x="2"/>
        <item x="3"/>
        <item t="default"/>
      </items>
    </pivotField>
    <pivotField axis="axisRow" showAll="0" sortType="descending">
      <items count="14">
        <item x="2"/>
        <item x="3"/>
        <item m="1" x="7"/>
        <item x="1"/>
        <item m="1" x="12"/>
        <item m="1" x="8"/>
        <item x="5"/>
        <item m="1" x="9"/>
        <item x="0"/>
        <item m="1" x="10"/>
        <item x="4"/>
        <item m="1" x="6"/>
        <item m="1"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1"/>
  </rowFields>
  <rowItems count="7">
    <i>
      <x v="8"/>
    </i>
    <i>
      <x v="3"/>
    </i>
    <i>
      <x v="10"/>
    </i>
    <i>
      <x/>
    </i>
    <i>
      <x v="1"/>
    </i>
    <i>
      <x v="6"/>
    </i>
    <i t="grand">
      <x/>
    </i>
  </rowItems>
  <colItems count="1">
    <i/>
  </colItems>
  <dataFields count="1">
    <dataField name="Average Net sales" fld="2" subtotal="average" baseField="0" baseItem="0" numFmtId="165"/>
  </dataFields>
  <chartFormats count="14">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8"/>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2" format="10">
      <pivotArea type="data" outline="0" fieldPosition="0">
        <references count="2">
          <reference field="4294967294" count="1" selected="0">
            <x v="0"/>
          </reference>
          <reference field="1" count="1" selected="0">
            <x v="1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6"/>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8"/>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10"/>
          </reference>
        </references>
      </pivotArea>
    </chartFormat>
    <chartFormat chart="3" format="18">
      <pivotArea type="data" outline="0" fieldPosition="0">
        <references count="2">
          <reference field="4294967294" count="1" selected="0">
            <x v="0"/>
          </reference>
          <reference field="1" count="1" selected="0">
            <x v="0"/>
          </reference>
        </references>
      </pivotArea>
    </chartFormat>
    <chartFormat chart="3" format="19">
      <pivotArea type="data" outline="0" fieldPosition="0">
        <references count="2">
          <reference field="4294967294" count="1" selected="0">
            <x v="0"/>
          </reference>
          <reference field="1" count="1" selected="0">
            <x v="1"/>
          </reference>
        </references>
      </pivotArea>
    </chartFormat>
    <chartFormat chart="3" format="20">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E5FF1F-0958-436E-9A1C-487A0D2371D0}" autoFormatId="16" applyNumberFormats="0" applyBorderFormats="0" applyFontFormats="0" applyPatternFormats="0" applyAlignmentFormats="0" applyWidthHeightFormats="0">
  <queryTableRefresh nextId="8">
    <queryTableFields count="7">
      <queryTableField id="1" name="Source.Name" tableColumnId="1"/>
      <queryTableField id="2" name="Employee Name" tableColumnId="2"/>
      <queryTableField id="3" name="Gross Sales After Discounts" tableColumnId="3"/>
      <queryTableField id="4" name="All Check Count" tableColumnId="4"/>
      <queryTableField id="5" name="Service Charges" tableColumnId="5"/>
      <queryTableField id="6" name="Discounts" tableColumnId="6"/>
      <queryTableField id="7" name="Average Check"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0ACC71EC-8DEB-42C3-9F53-5C03C6A440B4}" sourceName="Week">
  <pivotTables>
    <pivotTable tabId="3" name="PivotTable5"/>
    <pivotTable tabId="3" name="PivotTable2"/>
    <pivotTable tabId="3" name="PivotTable3"/>
    <pivotTable tabId="3" name="PivotTable4"/>
    <pivotTable tabId="3" name="PivotTable6"/>
    <pivotTable tabId="3" name="PivotTable7"/>
    <pivotTable tabId="3" name="PivotTable8"/>
    <pivotTable tabId="3" name="PivotTable9"/>
  </pivotTables>
  <data>
    <tabular pivotCacheId="155960759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AC544185-0187-41EA-92DB-9CB4253F581B}" sourceName="Employee Name">
  <pivotTables>
    <pivotTable tabId="3" name="PivotTable5"/>
    <pivotTable tabId="3" name="PivotTable2"/>
    <pivotTable tabId="3" name="PivotTable3"/>
    <pivotTable tabId="3" name="PivotTable4"/>
    <pivotTable tabId="3" name="PivotTable6"/>
    <pivotTable tabId="3" name="PivotTable7"/>
    <pivotTable tabId="3" name="PivotTable8"/>
    <pivotTable tabId="3" name="PivotTable9"/>
  </pivotTables>
  <data>
    <tabular pivotCacheId="1559607597">
      <items count="13">
        <i x="2" s="1"/>
        <i x="3" s="1"/>
        <i x="1" s="1"/>
        <i x="5" s="1"/>
        <i x="0" s="1"/>
        <i x="4" s="1"/>
        <i x="7" s="1" nd="1"/>
        <i x="12" s="1" nd="1"/>
        <i x="8" s="1" nd="1"/>
        <i x="9" s="1" nd="1"/>
        <i x="10" s="1" nd="1"/>
        <i x="6"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xr10:uid="{70F968C5-7490-4FA2-ABD2-E5633E3A1A73}" cache="Slicer_Week" caption="Week" rowHeight="241300"/>
  <slicer name="Employee Name" xr10:uid="{B24C441B-1483-40FF-9577-636DF1BD95AC}" cache="Slicer_Employee_Name" caption="Employee Nam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BBC47E-269A-4579-B44E-DFA50AD99062}" name="Table2" displayName="Table2" ref="A3:G27" totalsRowShown="0">
  <autoFilter ref="A3:G27" xr:uid="{EBBBC47E-269A-4579-B44E-DFA50AD99062}"/>
  <tableColumns count="7">
    <tableColumn id="1" xr3:uid="{CE12FC20-93A0-4B83-BAB3-FF13B9D0C71C}" name="Week"/>
    <tableColumn id="2" xr3:uid="{CDF6A15C-15CB-43E5-8C1B-B15906E40F0F}" name="Employee Name"/>
    <tableColumn id="3" xr3:uid="{4FE47C9C-ACE7-4818-BA34-D997B5505B20}" name="Gross Sales After Discounts"/>
    <tableColumn id="4" xr3:uid="{417418D1-BE0C-487B-812A-804FC3B505BC}" name="All Check Count"/>
    <tableColumn id="5" xr3:uid="{2777F1D3-F5CE-4224-A9F2-81709F21CB0F}" name="Service Charges"/>
    <tableColumn id="6" xr3:uid="{D4D9EA94-F736-4587-9662-021BA8A37BDF}" name="Discounts"/>
    <tableColumn id="7" xr3:uid="{A08CFA32-CF4F-42F2-8C57-EE51BA6D3CEB}" name="Average Che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1A3535-B6B6-45E4-A2A8-DB88275260EE}" name="Emp_Productivity" displayName="Emp_Productivity" ref="A1:G51" tableType="queryTable" totalsRowShown="0">
  <autoFilter ref="A1:G51" xr:uid="{4E1A3535-B6B6-45E4-A2A8-DB88275260EE}"/>
  <tableColumns count="7">
    <tableColumn id="1" xr3:uid="{86DE5BA3-53BD-40BB-B834-0213B1F78574}" uniqueName="1" name="Source.Name" queryTableFieldId="1" dataDxfId="1"/>
    <tableColumn id="2" xr3:uid="{432CA3BF-4C7C-4341-B39C-A066E1191235}" uniqueName="2" name="Employee Name" queryTableFieldId="2" dataDxfId="0"/>
    <tableColumn id="3" xr3:uid="{A07159E1-0B74-4DC1-80D4-B5B8A0E463D9}" uniqueName="3" name="Gross Sales After Discounts" queryTableFieldId="3"/>
    <tableColumn id="4" xr3:uid="{2E4473B6-8211-4822-8CEB-5E8BC3443911}" uniqueName="4" name="All Check Count" queryTableFieldId="4"/>
    <tableColumn id="5" xr3:uid="{6CD3FD35-0305-4E80-80D9-7CCE036F43BA}" uniqueName="5" name="Service Charges" queryTableFieldId="5"/>
    <tableColumn id="6" xr3:uid="{017C7B03-B12F-4D40-8FD3-485C128C3515}" uniqueName="6" name="Discounts" queryTableFieldId="6"/>
    <tableColumn id="7" xr3:uid="{E4803F1B-A196-4546-BCF7-82FF80772008}" uniqueName="7" name="Average Check" queryTableFieldId="7"/>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5EB4-4618-46D0-B1E0-552B0021A36D}">
  <dimension ref="A1:G27"/>
  <sheetViews>
    <sheetView workbookViewId="0">
      <selection activeCell="P21" sqref="P21"/>
    </sheetView>
  </sheetViews>
  <sheetFormatPr defaultRowHeight="14" x14ac:dyDescent="0.3"/>
  <cols>
    <col min="1" max="1" width="9.08203125" bestFit="1" customWidth="1"/>
    <col min="2" max="2" width="22.25" bestFit="1" customWidth="1"/>
    <col min="3" max="3" width="28.25" bestFit="1" customWidth="1"/>
    <col min="4" max="4" width="17.08203125" bestFit="1" customWidth="1"/>
    <col min="5" max="5" width="17.83203125" bestFit="1" customWidth="1"/>
    <col min="6" max="6" width="11.75" bestFit="1" customWidth="1"/>
    <col min="7" max="7" width="16.5" bestFit="1" customWidth="1"/>
  </cols>
  <sheetData>
    <row r="1" spans="1:7" x14ac:dyDescent="0.3">
      <c r="A1" s="6" t="s">
        <v>34</v>
      </c>
    </row>
    <row r="3" spans="1:7" x14ac:dyDescent="0.3">
      <c r="A3" t="s">
        <v>24</v>
      </c>
      <c r="B3" t="s">
        <v>1</v>
      </c>
      <c r="C3" t="s">
        <v>2</v>
      </c>
      <c r="D3" t="s">
        <v>3</v>
      </c>
      <c r="E3" t="s">
        <v>4</v>
      </c>
      <c r="F3" t="s">
        <v>5</v>
      </c>
      <c r="G3" t="s">
        <v>6</v>
      </c>
    </row>
    <row r="4" spans="1:7" x14ac:dyDescent="0.3">
      <c r="A4" t="s">
        <v>7</v>
      </c>
      <c r="B4" t="s">
        <v>8</v>
      </c>
      <c r="C4">
        <v>25094.400000000001</v>
      </c>
      <c r="D4">
        <v>738</v>
      </c>
      <c r="E4">
        <v>0</v>
      </c>
      <c r="F4">
        <v>-2533.1</v>
      </c>
      <c r="G4">
        <v>34.003</v>
      </c>
    </row>
    <row r="5" spans="1:7" x14ac:dyDescent="0.3">
      <c r="A5" t="s">
        <v>7</v>
      </c>
      <c r="B5" t="s">
        <v>25</v>
      </c>
      <c r="C5">
        <v>14625</v>
      </c>
      <c r="D5">
        <v>292</v>
      </c>
      <c r="E5">
        <v>0</v>
      </c>
      <c r="F5">
        <v>-4.5999999999999996</v>
      </c>
      <c r="G5">
        <v>50.085999999999999</v>
      </c>
    </row>
    <row r="6" spans="1:7" x14ac:dyDescent="0.3">
      <c r="A6" t="s">
        <v>7</v>
      </c>
      <c r="B6" t="s">
        <v>10</v>
      </c>
      <c r="C6">
        <v>13676.85</v>
      </c>
      <c r="D6">
        <v>335</v>
      </c>
      <c r="E6">
        <v>0</v>
      </c>
      <c r="F6">
        <v>-1183.6500000000001</v>
      </c>
      <c r="G6">
        <v>40.826000000000001</v>
      </c>
    </row>
    <row r="7" spans="1:7" x14ac:dyDescent="0.3">
      <c r="A7" t="s">
        <v>7</v>
      </c>
      <c r="B7" t="s">
        <v>11</v>
      </c>
      <c r="C7">
        <v>12696.25</v>
      </c>
      <c r="D7">
        <v>360</v>
      </c>
      <c r="E7">
        <v>0</v>
      </c>
      <c r="F7">
        <v>-1095.25</v>
      </c>
      <c r="G7">
        <v>35.267000000000003</v>
      </c>
    </row>
    <row r="8" spans="1:7" x14ac:dyDescent="0.3">
      <c r="A8" t="s">
        <v>7</v>
      </c>
      <c r="B8" t="s">
        <v>12</v>
      </c>
      <c r="C8">
        <v>5045.3</v>
      </c>
      <c r="D8">
        <v>155</v>
      </c>
      <c r="E8">
        <v>0</v>
      </c>
      <c r="F8">
        <v>-380.7</v>
      </c>
      <c r="G8">
        <v>32.549999999999997</v>
      </c>
    </row>
    <row r="9" spans="1:7" x14ac:dyDescent="0.3">
      <c r="A9" t="s">
        <v>7</v>
      </c>
      <c r="B9" t="s">
        <v>13</v>
      </c>
      <c r="C9">
        <v>4231.45</v>
      </c>
      <c r="D9">
        <v>136</v>
      </c>
      <c r="E9">
        <v>0</v>
      </c>
      <c r="F9">
        <v>-468.05</v>
      </c>
      <c r="G9">
        <v>31.114000000000001</v>
      </c>
    </row>
    <row r="10" spans="1:7" x14ac:dyDescent="0.3">
      <c r="A10" t="s">
        <v>20</v>
      </c>
      <c r="B10" t="s">
        <v>8</v>
      </c>
      <c r="C10">
        <v>23448.82</v>
      </c>
      <c r="D10">
        <v>724</v>
      </c>
      <c r="E10">
        <v>0</v>
      </c>
      <c r="F10">
        <v>-2169.6799999999998</v>
      </c>
      <c r="G10">
        <v>32.387999999999998</v>
      </c>
    </row>
    <row r="11" spans="1:7" x14ac:dyDescent="0.3">
      <c r="A11" t="s">
        <v>20</v>
      </c>
      <c r="B11" t="s">
        <v>10</v>
      </c>
      <c r="C11">
        <v>18858.79</v>
      </c>
      <c r="D11">
        <v>541</v>
      </c>
      <c r="E11">
        <v>0</v>
      </c>
      <c r="F11">
        <v>-2042.96</v>
      </c>
      <c r="G11">
        <v>34.859000000000002</v>
      </c>
    </row>
    <row r="12" spans="1:7" x14ac:dyDescent="0.3">
      <c r="A12" t="s">
        <v>20</v>
      </c>
      <c r="B12" t="s">
        <v>25</v>
      </c>
      <c r="C12">
        <v>11479.8</v>
      </c>
      <c r="D12">
        <v>246</v>
      </c>
      <c r="E12">
        <v>0</v>
      </c>
      <c r="F12">
        <v>0</v>
      </c>
      <c r="G12">
        <v>46.665999999999997</v>
      </c>
    </row>
    <row r="13" spans="1:7" x14ac:dyDescent="0.3">
      <c r="A13" t="s">
        <v>20</v>
      </c>
      <c r="B13" t="s">
        <v>11</v>
      </c>
      <c r="C13">
        <v>4878.7</v>
      </c>
      <c r="D13">
        <v>163</v>
      </c>
      <c r="E13">
        <v>0</v>
      </c>
      <c r="F13">
        <v>-486.3</v>
      </c>
      <c r="G13">
        <v>29.931000000000001</v>
      </c>
    </row>
    <row r="14" spans="1:7" x14ac:dyDescent="0.3">
      <c r="A14" t="s">
        <v>20</v>
      </c>
      <c r="B14" t="s">
        <v>12</v>
      </c>
      <c r="C14">
        <v>2731.9</v>
      </c>
      <c r="D14">
        <v>81</v>
      </c>
      <c r="E14">
        <v>0</v>
      </c>
      <c r="F14">
        <v>-345.6</v>
      </c>
      <c r="G14">
        <v>33.726999999999997</v>
      </c>
    </row>
    <row r="15" spans="1:7" x14ac:dyDescent="0.3">
      <c r="A15" t="s">
        <v>20</v>
      </c>
      <c r="B15" t="s">
        <v>13</v>
      </c>
      <c r="C15">
        <v>0</v>
      </c>
      <c r="D15">
        <v>0</v>
      </c>
      <c r="E15">
        <v>0</v>
      </c>
      <c r="F15">
        <v>0</v>
      </c>
      <c r="G15">
        <v>0</v>
      </c>
    </row>
    <row r="16" spans="1:7" x14ac:dyDescent="0.3">
      <c r="A16" t="s">
        <v>22</v>
      </c>
      <c r="B16" t="s">
        <v>12</v>
      </c>
      <c r="C16">
        <v>24898.6</v>
      </c>
      <c r="D16">
        <v>759</v>
      </c>
      <c r="E16">
        <v>0</v>
      </c>
      <c r="F16">
        <v>-2129.4</v>
      </c>
      <c r="G16">
        <v>32.804000000000002</v>
      </c>
    </row>
    <row r="17" spans="1:7" x14ac:dyDescent="0.3">
      <c r="A17" t="s">
        <v>22</v>
      </c>
      <c r="B17" t="s">
        <v>8</v>
      </c>
      <c r="C17">
        <v>13433.5</v>
      </c>
      <c r="D17">
        <v>388</v>
      </c>
      <c r="E17">
        <v>0</v>
      </c>
      <c r="F17">
        <v>-1035.5</v>
      </c>
      <c r="G17">
        <v>34.622</v>
      </c>
    </row>
    <row r="18" spans="1:7" x14ac:dyDescent="0.3">
      <c r="A18" t="s">
        <v>22</v>
      </c>
      <c r="B18" t="s">
        <v>25</v>
      </c>
      <c r="C18">
        <v>11407.3</v>
      </c>
      <c r="D18">
        <v>240</v>
      </c>
      <c r="E18">
        <v>0</v>
      </c>
      <c r="F18">
        <v>-36</v>
      </c>
      <c r="G18">
        <v>47.53</v>
      </c>
    </row>
    <row r="19" spans="1:7" x14ac:dyDescent="0.3">
      <c r="A19" t="s">
        <v>22</v>
      </c>
      <c r="B19" t="s">
        <v>10</v>
      </c>
      <c r="C19">
        <v>5234.45</v>
      </c>
      <c r="D19">
        <v>183</v>
      </c>
      <c r="E19">
        <v>0</v>
      </c>
      <c r="F19">
        <v>-529.54999999999995</v>
      </c>
      <c r="G19">
        <v>28.603999999999999</v>
      </c>
    </row>
    <row r="20" spans="1:7" x14ac:dyDescent="0.3">
      <c r="A20" t="s">
        <v>22</v>
      </c>
      <c r="B20" t="s">
        <v>11</v>
      </c>
      <c r="C20">
        <v>1270.9000000000001</v>
      </c>
      <c r="D20">
        <v>46</v>
      </c>
      <c r="E20">
        <v>0</v>
      </c>
      <c r="F20">
        <v>-71.099999999999994</v>
      </c>
      <c r="G20">
        <v>27.628</v>
      </c>
    </row>
    <row r="21" spans="1:7" x14ac:dyDescent="0.3">
      <c r="A21" t="s">
        <v>22</v>
      </c>
      <c r="B21" t="s">
        <v>13</v>
      </c>
      <c r="C21">
        <v>0</v>
      </c>
      <c r="D21">
        <v>0</v>
      </c>
      <c r="E21">
        <v>0</v>
      </c>
      <c r="F21">
        <v>0</v>
      </c>
      <c r="G21">
        <v>0</v>
      </c>
    </row>
    <row r="22" spans="1:7" x14ac:dyDescent="0.3">
      <c r="A22" t="s">
        <v>23</v>
      </c>
      <c r="B22" t="s">
        <v>8</v>
      </c>
      <c r="C22">
        <v>17005.05</v>
      </c>
      <c r="D22">
        <v>486</v>
      </c>
      <c r="E22">
        <v>0</v>
      </c>
      <c r="F22">
        <v>-1539.7</v>
      </c>
      <c r="G22">
        <v>34.99</v>
      </c>
    </row>
    <row r="23" spans="1:7" x14ac:dyDescent="0.3">
      <c r="A23" t="s">
        <v>23</v>
      </c>
      <c r="B23" t="s">
        <v>13</v>
      </c>
      <c r="C23">
        <v>14781.61</v>
      </c>
      <c r="D23">
        <v>402</v>
      </c>
      <c r="E23">
        <v>0</v>
      </c>
      <c r="F23">
        <v>-1386.64</v>
      </c>
      <c r="G23">
        <v>36.770000000000003</v>
      </c>
    </row>
    <row r="24" spans="1:7" x14ac:dyDescent="0.3">
      <c r="A24" t="s">
        <v>23</v>
      </c>
      <c r="B24" t="s">
        <v>25</v>
      </c>
      <c r="C24">
        <v>11542.5</v>
      </c>
      <c r="D24">
        <v>250</v>
      </c>
      <c r="E24">
        <v>0</v>
      </c>
      <c r="F24">
        <v>-68.5</v>
      </c>
      <c r="G24">
        <v>46.17</v>
      </c>
    </row>
    <row r="25" spans="1:7" x14ac:dyDescent="0.3">
      <c r="A25" t="s">
        <v>23</v>
      </c>
      <c r="B25" t="s">
        <v>12</v>
      </c>
      <c r="C25">
        <v>11313.3</v>
      </c>
      <c r="D25">
        <v>340</v>
      </c>
      <c r="E25">
        <v>0</v>
      </c>
      <c r="F25">
        <v>-1065.7</v>
      </c>
      <c r="G25">
        <v>33.274000000000001</v>
      </c>
    </row>
    <row r="26" spans="1:7" x14ac:dyDescent="0.3">
      <c r="A26" t="s">
        <v>23</v>
      </c>
      <c r="B26" t="s">
        <v>11</v>
      </c>
      <c r="C26">
        <v>3560.7</v>
      </c>
      <c r="D26">
        <v>117</v>
      </c>
      <c r="E26">
        <v>0</v>
      </c>
      <c r="F26">
        <v>-273.3</v>
      </c>
      <c r="G26">
        <v>30.433</v>
      </c>
    </row>
    <row r="27" spans="1:7" x14ac:dyDescent="0.3">
      <c r="A27" t="s">
        <v>23</v>
      </c>
      <c r="B27" t="s">
        <v>10</v>
      </c>
      <c r="C27">
        <v>3388.87</v>
      </c>
      <c r="D27">
        <v>110</v>
      </c>
      <c r="E27">
        <v>0</v>
      </c>
      <c r="F27">
        <v>-203.63</v>
      </c>
      <c r="G27">
        <v>30.808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C3DE5-9B7C-4939-A878-0F44C63833C2}">
  <dimension ref="A3:G73"/>
  <sheetViews>
    <sheetView topLeftCell="A13" workbookViewId="0">
      <selection activeCell="F83" sqref="F83"/>
    </sheetView>
  </sheetViews>
  <sheetFormatPr defaultRowHeight="14" x14ac:dyDescent="0.3"/>
  <cols>
    <col min="1" max="1" width="22.25" bestFit="1" customWidth="1"/>
    <col min="2" max="2" width="21.6640625" bestFit="1" customWidth="1"/>
    <col min="3" max="3" width="16.08203125" bestFit="1" customWidth="1"/>
    <col min="4" max="6" width="8.83203125" bestFit="1" customWidth="1"/>
    <col min="7" max="7" width="11.33203125" bestFit="1" customWidth="1"/>
  </cols>
  <sheetData>
    <row r="3" spans="1:2" x14ac:dyDescent="0.3">
      <c r="A3" s="2" t="s">
        <v>29</v>
      </c>
      <c r="B3" t="s">
        <v>30</v>
      </c>
    </row>
    <row r="4" spans="1:2" x14ac:dyDescent="0.3">
      <c r="A4" s="3" t="s">
        <v>8</v>
      </c>
      <c r="B4" s="5">
        <v>19745.442500000001</v>
      </c>
    </row>
    <row r="5" spans="1:2" x14ac:dyDescent="0.3">
      <c r="A5" s="3" t="s">
        <v>25</v>
      </c>
      <c r="B5" s="5">
        <v>12263.65</v>
      </c>
    </row>
    <row r="6" spans="1:2" x14ac:dyDescent="0.3">
      <c r="A6" s="3" t="s">
        <v>12</v>
      </c>
      <c r="B6" s="5">
        <v>10997.275</v>
      </c>
    </row>
    <row r="7" spans="1:2" x14ac:dyDescent="0.3">
      <c r="A7" s="3" t="s">
        <v>10</v>
      </c>
      <c r="B7" s="5">
        <v>10289.74</v>
      </c>
    </row>
    <row r="8" spans="1:2" x14ac:dyDescent="0.3">
      <c r="A8" s="3" t="s">
        <v>11</v>
      </c>
      <c r="B8" s="5">
        <v>5601.6375000000007</v>
      </c>
    </row>
    <row r="9" spans="1:2" x14ac:dyDescent="0.3">
      <c r="A9" s="3" t="s">
        <v>13</v>
      </c>
      <c r="B9" s="5">
        <v>4753.2650000000003</v>
      </c>
    </row>
    <row r="10" spans="1:2" x14ac:dyDescent="0.3">
      <c r="A10" s="3" t="s">
        <v>26</v>
      </c>
      <c r="B10" s="5">
        <v>10608.501666666665</v>
      </c>
    </row>
    <row r="14" spans="1:2" x14ac:dyDescent="0.3">
      <c r="A14" s="2" t="s">
        <v>29</v>
      </c>
      <c r="B14" t="s">
        <v>28</v>
      </c>
    </row>
    <row r="15" spans="1:2" x14ac:dyDescent="0.3">
      <c r="A15" s="3" t="s">
        <v>8</v>
      </c>
      <c r="B15" s="5">
        <v>78981.77</v>
      </c>
    </row>
    <row r="16" spans="1:2" x14ac:dyDescent="0.3">
      <c r="A16" s="3" t="s">
        <v>25</v>
      </c>
      <c r="B16" s="5">
        <v>49054.6</v>
      </c>
    </row>
    <row r="17" spans="1:3" x14ac:dyDescent="0.3">
      <c r="A17" s="3" t="s">
        <v>12</v>
      </c>
      <c r="B17" s="5">
        <v>43989.1</v>
      </c>
    </row>
    <row r="18" spans="1:3" x14ac:dyDescent="0.3">
      <c r="A18" s="3" t="s">
        <v>10</v>
      </c>
      <c r="B18" s="5">
        <v>41158.959999999999</v>
      </c>
    </row>
    <row r="19" spans="1:3" x14ac:dyDescent="0.3">
      <c r="A19" s="3" t="s">
        <v>11</v>
      </c>
      <c r="B19" s="5">
        <v>22406.550000000003</v>
      </c>
    </row>
    <row r="20" spans="1:3" x14ac:dyDescent="0.3">
      <c r="A20" s="3" t="s">
        <v>13</v>
      </c>
      <c r="B20" s="5">
        <v>19013.060000000001</v>
      </c>
    </row>
    <row r="21" spans="1:3" x14ac:dyDescent="0.3">
      <c r="A21" s="3" t="s">
        <v>26</v>
      </c>
      <c r="B21" s="5">
        <v>254604.04</v>
      </c>
    </row>
    <row r="25" spans="1:3" x14ac:dyDescent="0.3">
      <c r="A25" s="2" t="s">
        <v>29</v>
      </c>
      <c r="B25" t="s">
        <v>31</v>
      </c>
      <c r="C25" t="s">
        <v>32</v>
      </c>
    </row>
    <row r="26" spans="1:3" x14ac:dyDescent="0.3">
      <c r="A26" s="3" t="s">
        <v>8</v>
      </c>
      <c r="B26" s="1">
        <v>2336</v>
      </c>
      <c r="C26" s="4">
        <v>34.000749999999996</v>
      </c>
    </row>
    <row r="27" spans="1:3" x14ac:dyDescent="0.3">
      <c r="A27" s="3" t="s">
        <v>12</v>
      </c>
      <c r="B27" s="1">
        <v>1335</v>
      </c>
      <c r="C27" s="4">
        <v>33.088749999999997</v>
      </c>
    </row>
    <row r="28" spans="1:3" x14ac:dyDescent="0.3">
      <c r="A28" s="3" t="s">
        <v>10</v>
      </c>
      <c r="B28" s="1">
        <v>1169</v>
      </c>
      <c r="C28" s="4">
        <v>33.774250000000002</v>
      </c>
    </row>
    <row r="29" spans="1:3" x14ac:dyDescent="0.3">
      <c r="A29" s="3" t="s">
        <v>25</v>
      </c>
      <c r="B29" s="1">
        <v>1028</v>
      </c>
      <c r="C29" s="4">
        <v>47.613</v>
      </c>
    </row>
    <row r="30" spans="1:3" x14ac:dyDescent="0.3">
      <c r="A30" s="3" t="s">
        <v>11</v>
      </c>
      <c r="B30" s="1">
        <v>686</v>
      </c>
      <c r="C30" s="4">
        <v>30.814750000000004</v>
      </c>
    </row>
    <row r="31" spans="1:3" x14ac:dyDescent="0.3">
      <c r="A31" s="3" t="s">
        <v>13</v>
      </c>
      <c r="B31" s="1">
        <v>538</v>
      </c>
      <c r="C31" s="4">
        <v>16.971</v>
      </c>
    </row>
    <row r="32" spans="1:3" x14ac:dyDescent="0.3">
      <c r="A32" s="3" t="s">
        <v>26</v>
      </c>
      <c r="B32" s="1">
        <v>7092</v>
      </c>
      <c r="C32" s="4">
        <v>32.710416666666667</v>
      </c>
    </row>
    <row r="39" spans="1:2" x14ac:dyDescent="0.3">
      <c r="A39" s="2" t="s">
        <v>24</v>
      </c>
      <c r="B39" t="s">
        <v>33</v>
      </c>
    </row>
    <row r="40" spans="1:2" x14ac:dyDescent="0.3">
      <c r="A40" s="3" t="s">
        <v>7</v>
      </c>
      <c r="B40" s="5">
        <v>75369.25</v>
      </c>
    </row>
    <row r="41" spans="1:2" x14ac:dyDescent="0.3">
      <c r="A41" s="3" t="s">
        <v>23</v>
      </c>
      <c r="B41" s="5">
        <v>61592.030000000006</v>
      </c>
    </row>
    <row r="42" spans="1:2" x14ac:dyDescent="0.3">
      <c r="A42" s="3" t="s">
        <v>20</v>
      </c>
      <c r="B42" s="5">
        <v>61398.01</v>
      </c>
    </row>
    <row r="43" spans="1:2" x14ac:dyDescent="0.3">
      <c r="A43" s="3" t="s">
        <v>22</v>
      </c>
      <c r="B43" s="5">
        <v>56244.749999999993</v>
      </c>
    </row>
    <row r="44" spans="1:2" x14ac:dyDescent="0.3">
      <c r="A44" s="3" t="s">
        <v>26</v>
      </c>
      <c r="B44" s="5">
        <v>254604.04</v>
      </c>
    </row>
    <row r="51" spans="2:7" x14ac:dyDescent="0.3">
      <c r="B51" s="2" t="s">
        <v>33</v>
      </c>
      <c r="C51" s="2" t="s">
        <v>27</v>
      </c>
    </row>
    <row r="52" spans="2:7" x14ac:dyDescent="0.3">
      <c r="B52" s="2" t="s">
        <v>24</v>
      </c>
      <c r="C52" t="s">
        <v>7</v>
      </c>
      <c r="D52" t="s">
        <v>23</v>
      </c>
      <c r="E52" t="s">
        <v>20</v>
      </c>
      <c r="F52" t="s">
        <v>22</v>
      </c>
      <c r="G52" t="s">
        <v>26</v>
      </c>
    </row>
    <row r="53" spans="2:7" x14ac:dyDescent="0.3">
      <c r="B53" s="3" t="s">
        <v>10</v>
      </c>
      <c r="C53" s="1">
        <v>13676.85</v>
      </c>
      <c r="D53" s="1">
        <v>3388.87</v>
      </c>
      <c r="E53" s="1">
        <v>18858.79</v>
      </c>
      <c r="F53" s="1">
        <v>5234.45</v>
      </c>
      <c r="G53" s="1">
        <v>41158.959999999999</v>
      </c>
    </row>
    <row r="54" spans="2:7" x14ac:dyDescent="0.3">
      <c r="B54" s="3" t="s">
        <v>11</v>
      </c>
      <c r="C54" s="1">
        <v>12696.25</v>
      </c>
      <c r="D54" s="1">
        <v>3560.7</v>
      </c>
      <c r="E54" s="1">
        <v>4878.7</v>
      </c>
      <c r="F54" s="1">
        <v>1270.9000000000001</v>
      </c>
      <c r="G54" s="1">
        <v>22406.550000000003</v>
      </c>
    </row>
    <row r="55" spans="2:7" x14ac:dyDescent="0.3">
      <c r="B55" s="3" t="s">
        <v>25</v>
      </c>
      <c r="C55" s="1">
        <v>14625</v>
      </c>
      <c r="D55" s="1">
        <v>11542.5</v>
      </c>
      <c r="E55" s="1">
        <v>11479.8</v>
      </c>
      <c r="F55" s="1">
        <v>11407.3</v>
      </c>
      <c r="G55" s="1">
        <v>49054.6</v>
      </c>
    </row>
    <row r="56" spans="2:7" x14ac:dyDescent="0.3">
      <c r="B56" s="3" t="s">
        <v>13</v>
      </c>
      <c r="C56" s="1">
        <v>4231.45</v>
      </c>
      <c r="D56" s="1">
        <v>14781.61</v>
      </c>
      <c r="E56" s="1">
        <v>0</v>
      </c>
      <c r="F56" s="1">
        <v>0</v>
      </c>
      <c r="G56" s="1">
        <v>19013.060000000001</v>
      </c>
    </row>
    <row r="57" spans="2:7" x14ac:dyDescent="0.3">
      <c r="B57" s="3" t="s">
        <v>8</v>
      </c>
      <c r="C57" s="1">
        <v>25094.400000000001</v>
      </c>
      <c r="D57" s="1">
        <v>17005.05</v>
      </c>
      <c r="E57" s="1">
        <v>23448.82</v>
      </c>
      <c r="F57" s="1">
        <v>13433.5</v>
      </c>
      <c r="G57" s="1">
        <v>78981.77</v>
      </c>
    </row>
    <row r="58" spans="2:7" x14ac:dyDescent="0.3">
      <c r="B58" s="3" t="s">
        <v>12</v>
      </c>
      <c r="C58" s="1">
        <v>5045.3</v>
      </c>
      <c r="D58" s="1">
        <v>11313.3</v>
      </c>
      <c r="E58" s="1">
        <v>2731.9</v>
      </c>
      <c r="F58" s="1">
        <v>24898.6</v>
      </c>
      <c r="G58" s="1">
        <v>43989.1</v>
      </c>
    </row>
    <row r="59" spans="2:7" x14ac:dyDescent="0.3">
      <c r="B59" s="3" t="s">
        <v>26</v>
      </c>
      <c r="C59" s="1">
        <v>75369.25</v>
      </c>
      <c r="D59" s="1">
        <v>61592.03</v>
      </c>
      <c r="E59" s="1">
        <v>61398.01</v>
      </c>
      <c r="F59" s="1">
        <v>56244.75</v>
      </c>
      <c r="G59" s="1">
        <v>254604.04</v>
      </c>
    </row>
    <row r="65" spans="2:2" x14ac:dyDescent="0.3">
      <c r="B65" s="7" t="s">
        <v>33</v>
      </c>
    </row>
    <row r="66" spans="2:2" x14ac:dyDescent="0.3">
      <c r="B66" s="8">
        <v>254604.03999999998</v>
      </c>
    </row>
    <row r="67" spans="2:2" x14ac:dyDescent="0.3">
      <c r="B67" s="7"/>
    </row>
    <row r="68" spans="2:2" x14ac:dyDescent="0.3">
      <c r="B68" s="7"/>
    </row>
    <row r="69" spans="2:2" x14ac:dyDescent="0.3">
      <c r="B69" s="7" t="s">
        <v>35</v>
      </c>
    </row>
    <row r="70" spans="2:2" x14ac:dyDescent="0.3">
      <c r="B70" s="9">
        <v>7092</v>
      </c>
    </row>
    <row r="71" spans="2:2" x14ac:dyDescent="0.3">
      <c r="B71" s="7"/>
    </row>
    <row r="72" spans="2:2" x14ac:dyDescent="0.3">
      <c r="B72" s="7" t="s">
        <v>32</v>
      </c>
    </row>
    <row r="73" spans="2:2" x14ac:dyDescent="0.3">
      <c r="B73" s="10">
        <v>32.710416666666667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31DF-26BE-4E3A-BF76-143975535669}">
  <dimension ref="A1:G51"/>
  <sheetViews>
    <sheetView workbookViewId="0">
      <selection activeCell="K21" sqref="K21"/>
    </sheetView>
  </sheetViews>
  <sheetFormatPr defaultRowHeight="14" x14ac:dyDescent="0.3"/>
  <cols>
    <col min="1" max="1" width="14.75" bestFit="1" customWidth="1"/>
    <col min="2" max="2" width="34.58203125" bestFit="1" customWidth="1"/>
    <col min="3" max="3" width="28.25" bestFit="1" customWidth="1"/>
    <col min="4" max="4" width="17.08203125" bestFit="1" customWidth="1"/>
    <col min="5" max="5" width="17.83203125" bestFit="1" customWidth="1"/>
    <col min="6" max="6" width="11.75" bestFit="1" customWidth="1"/>
    <col min="7" max="7" width="16.5" bestFit="1" customWidth="1"/>
  </cols>
  <sheetData>
    <row r="1" spans="1:7" x14ac:dyDescent="0.3">
      <c r="A1" t="s">
        <v>0</v>
      </c>
      <c r="B1" t="s">
        <v>1</v>
      </c>
      <c r="C1" t="s">
        <v>2</v>
      </c>
      <c r="D1" t="s">
        <v>3</v>
      </c>
      <c r="E1" t="s">
        <v>4</v>
      </c>
      <c r="F1" t="s">
        <v>5</v>
      </c>
      <c r="G1" t="s">
        <v>6</v>
      </c>
    </row>
    <row r="2" spans="1:7" x14ac:dyDescent="0.3">
      <c r="A2" s="1" t="s">
        <v>7</v>
      </c>
      <c r="B2" s="1" t="s">
        <v>8</v>
      </c>
      <c r="C2">
        <v>25094.400000000001</v>
      </c>
      <c r="D2">
        <v>738</v>
      </c>
      <c r="E2">
        <v>0</v>
      </c>
      <c r="F2">
        <v>-2533.1</v>
      </c>
      <c r="G2">
        <v>34.003</v>
      </c>
    </row>
    <row r="3" spans="1:7" x14ac:dyDescent="0.3">
      <c r="A3" s="1" t="s">
        <v>7</v>
      </c>
      <c r="B3" s="1" t="s">
        <v>9</v>
      </c>
      <c r="C3">
        <v>14625</v>
      </c>
      <c r="D3">
        <v>292</v>
      </c>
      <c r="E3">
        <v>0</v>
      </c>
      <c r="F3">
        <v>-4.5999999999999996</v>
      </c>
      <c r="G3">
        <v>50.085999999999999</v>
      </c>
    </row>
    <row r="4" spans="1:7" x14ac:dyDescent="0.3">
      <c r="A4" s="1" t="s">
        <v>7</v>
      </c>
      <c r="B4" s="1" t="s">
        <v>10</v>
      </c>
      <c r="C4">
        <v>13676.85</v>
      </c>
      <c r="D4">
        <v>335</v>
      </c>
      <c r="E4">
        <v>0</v>
      </c>
      <c r="F4">
        <v>-1183.6500000000001</v>
      </c>
      <c r="G4">
        <v>40.826000000000001</v>
      </c>
    </row>
    <row r="5" spans="1:7" x14ac:dyDescent="0.3">
      <c r="A5" s="1" t="s">
        <v>7</v>
      </c>
      <c r="B5" s="1" t="s">
        <v>11</v>
      </c>
      <c r="C5">
        <v>12696.25</v>
      </c>
      <c r="D5">
        <v>360</v>
      </c>
      <c r="E5">
        <v>0</v>
      </c>
      <c r="F5">
        <v>-1095.25</v>
      </c>
      <c r="G5">
        <v>35.267000000000003</v>
      </c>
    </row>
    <row r="6" spans="1:7" x14ac:dyDescent="0.3">
      <c r="A6" s="1" t="s">
        <v>7</v>
      </c>
      <c r="B6" s="1" t="s">
        <v>12</v>
      </c>
      <c r="C6">
        <v>5045.3</v>
      </c>
      <c r="D6">
        <v>155</v>
      </c>
      <c r="E6">
        <v>0</v>
      </c>
      <c r="F6">
        <v>-380.7</v>
      </c>
      <c r="G6">
        <v>32.549999999999997</v>
      </c>
    </row>
    <row r="7" spans="1:7" x14ac:dyDescent="0.3">
      <c r="A7" s="1" t="s">
        <v>7</v>
      </c>
      <c r="B7" s="1" t="s">
        <v>13</v>
      </c>
      <c r="C7">
        <v>4231.45</v>
      </c>
      <c r="D7">
        <v>136</v>
      </c>
      <c r="E7">
        <v>0</v>
      </c>
      <c r="F7">
        <v>-468.05</v>
      </c>
      <c r="G7">
        <v>31.114000000000001</v>
      </c>
    </row>
    <row r="8" spans="1:7" x14ac:dyDescent="0.3">
      <c r="A8" s="1" t="s">
        <v>7</v>
      </c>
      <c r="B8" s="1" t="s">
        <v>14</v>
      </c>
      <c r="C8">
        <v>2594.4499999999998</v>
      </c>
      <c r="D8">
        <v>69</v>
      </c>
      <c r="E8">
        <v>0</v>
      </c>
      <c r="F8">
        <v>-200.55</v>
      </c>
      <c r="G8">
        <v>37.600999999999999</v>
      </c>
    </row>
    <row r="9" spans="1:7" x14ac:dyDescent="0.3">
      <c r="A9" s="1" t="s">
        <v>7</v>
      </c>
      <c r="B9" s="1" t="s">
        <v>15</v>
      </c>
      <c r="C9">
        <v>0</v>
      </c>
      <c r="D9">
        <v>0</v>
      </c>
      <c r="E9">
        <v>0</v>
      </c>
      <c r="F9">
        <v>0</v>
      </c>
      <c r="G9">
        <v>0</v>
      </c>
    </row>
    <row r="10" spans="1:7" x14ac:dyDescent="0.3">
      <c r="A10" s="1" t="s">
        <v>7</v>
      </c>
      <c r="B10" s="1" t="s">
        <v>16</v>
      </c>
      <c r="C10">
        <v>0</v>
      </c>
      <c r="D10">
        <v>0</v>
      </c>
      <c r="E10">
        <v>0</v>
      </c>
      <c r="F10">
        <v>0</v>
      </c>
      <c r="G10">
        <v>0</v>
      </c>
    </row>
    <row r="11" spans="1:7" x14ac:dyDescent="0.3">
      <c r="A11" s="1" t="s">
        <v>7</v>
      </c>
      <c r="B11" s="1" t="s">
        <v>17</v>
      </c>
      <c r="C11">
        <v>0</v>
      </c>
      <c r="D11">
        <v>0</v>
      </c>
      <c r="E11">
        <v>0</v>
      </c>
      <c r="F11">
        <v>0</v>
      </c>
      <c r="G11">
        <v>0</v>
      </c>
    </row>
    <row r="12" spans="1:7" x14ac:dyDescent="0.3">
      <c r="A12" s="1" t="s">
        <v>7</v>
      </c>
      <c r="B12" s="1" t="s">
        <v>18</v>
      </c>
      <c r="C12">
        <v>0</v>
      </c>
      <c r="D12">
        <v>0</v>
      </c>
      <c r="E12">
        <v>0</v>
      </c>
      <c r="F12">
        <v>0</v>
      </c>
      <c r="G12">
        <v>0</v>
      </c>
    </row>
    <row r="13" spans="1:7" x14ac:dyDescent="0.3">
      <c r="A13" s="1" t="s">
        <v>7</v>
      </c>
      <c r="B13" s="1" t="s">
        <v>19</v>
      </c>
      <c r="C13">
        <v>0</v>
      </c>
      <c r="D13">
        <v>0</v>
      </c>
      <c r="E13">
        <v>0</v>
      </c>
      <c r="F13">
        <v>0</v>
      </c>
      <c r="G13">
        <v>0</v>
      </c>
    </row>
    <row r="14" spans="1:7" x14ac:dyDescent="0.3">
      <c r="A14" s="1" t="s">
        <v>20</v>
      </c>
      <c r="B14" s="1" t="s">
        <v>8</v>
      </c>
      <c r="C14">
        <v>23448.82</v>
      </c>
      <c r="D14">
        <v>724</v>
      </c>
      <c r="E14">
        <v>0</v>
      </c>
      <c r="F14">
        <v>-2169.6799999999998</v>
      </c>
      <c r="G14">
        <v>32.387999999999998</v>
      </c>
    </row>
    <row r="15" spans="1:7" x14ac:dyDescent="0.3">
      <c r="A15" s="1" t="s">
        <v>20</v>
      </c>
      <c r="B15" s="1" t="s">
        <v>10</v>
      </c>
      <c r="C15">
        <v>18858.79</v>
      </c>
      <c r="D15">
        <v>541</v>
      </c>
      <c r="E15">
        <v>0</v>
      </c>
      <c r="F15">
        <v>-2042.96</v>
      </c>
      <c r="G15">
        <v>34.859000000000002</v>
      </c>
    </row>
    <row r="16" spans="1:7" x14ac:dyDescent="0.3">
      <c r="A16" s="1" t="s">
        <v>20</v>
      </c>
      <c r="B16" s="1" t="s">
        <v>9</v>
      </c>
      <c r="C16">
        <v>11479.8</v>
      </c>
      <c r="D16">
        <v>246</v>
      </c>
      <c r="E16">
        <v>0</v>
      </c>
      <c r="F16">
        <v>0</v>
      </c>
      <c r="G16">
        <v>46.665999999999997</v>
      </c>
    </row>
    <row r="17" spans="1:7" x14ac:dyDescent="0.3">
      <c r="A17" s="1" t="s">
        <v>20</v>
      </c>
      <c r="B17" s="1" t="s">
        <v>11</v>
      </c>
      <c r="C17">
        <v>4878.7</v>
      </c>
      <c r="D17">
        <v>163</v>
      </c>
      <c r="E17">
        <v>0</v>
      </c>
      <c r="F17">
        <v>-486.3</v>
      </c>
      <c r="G17">
        <v>29.931000000000001</v>
      </c>
    </row>
    <row r="18" spans="1:7" x14ac:dyDescent="0.3">
      <c r="A18" s="1" t="s">
        <v>20</v>
      </c>
      <c r="B18" s="1" t="s">
        <v>18</v>
      </c>
      <c r="C18">
        <v>4573.97</v>
      </c>
      <c r="D18">
        <v>158</v>
      </c>
      <c r="E18">
        <v>0</v>
      </c>
      <c r="F18">
        <v>-438.78</v>
      </c>
      <c r="G18">
        <v>28.949000000000002</v>
      </c>
    </row>
    <row r="19" spans="1:7" x14ac:dyDescent="0.3">
      <c r="A19" s="1" t="s">
        <v>20</v>
      </c>
      <c r="B19" s="1" t="s">
        <v>12</v>
      </c>
      <c r="C19">
        <v>2731.9</v>
      </c>
      <c r="D19">
        <v>81</v>
      </c>
      <c r="E19">
        <v>0</v>
      </c>
      <c r="F19">
        <v>-345.6</v>
      </c>
      <c r="G19">
        <v>33.726999999999997</v>
      </c>
    </row>
    <row r="20" spans="1:7" x14ac:dyDescent="0.3">
      <c r="A20" s="1" t="s">
        <v>20</v>
      </c>
      <c r="B20" s="1" t="s">
        <v>15</v>
      </c>
      <c r="C20">
        <v>0</v>
      </c>
      <c r="D20">
        <v>0</v>
      </c>
      <c r="E20">
        <v>0</v>
      </c>
      <c r="F20">
        <v>0</v>
      </c>
      <c r="G20">
        <v>0</v>
      </c>
    </row>
    <row r="21" spans="1:7" x14ac:dyDescent="0.3">
      <c r="A21" s="1" t="s">
        <v>20</v>
      </c>
      <c r="B21" s="1" t="s">
        <v>21</v>
      </c>
      <c r="C21">
        <v>0</v>
      </c>
      <c r="D21">
        <v>0</v>
      </c>
      <c r="E21">
        <v>0</v>
      </c>
      <c r="F21">
        <v>0</v>
      </c>
      <c r="G21">
        <v>0</v>
      </c>
    </row>
    <row r="22" spans="1:7" x14ac:dyDescent="0.3">
      <c r="A22" s="1" t="s">
        <v>20</v>
      </c>
      <c r="B22" s="1" t="s">
        <v>16</v>
      </c>
      <c r="C22">
        <v>0</v>
      </c>
      <c r="D22">
        <v>0</v>
      </c>
      <c r="E22">
        <v>0</v>
      </c>
      <c r="F22">
        <v>0</v>
      </c>
      <c r="G22">
        <v>0</v>
      </c>
    </row>
    <row r="23" spans="1:7" x14ac:dyDescent="0.3">
      <c r="A23" s="1" t="s">
        <v>20</v>
      </c>
      <c r="B23" s="1" t="s">
        <v>13</v>
      </c>
      <c r="C23">
        <v>0</v>
      </c>
      <c r="D23">
        <v>0</v>
      </c>
      <c r="E23">
        <v>0</v>
      </c>
      <c r="F23">
        <v>0</v>
      </c>
      <c r="G23">
        <v>0</v>
      </c>
    </row>
    <row r="24" spans="1:7" x14ac:dyDescent="0.3">
      <c r="A24" s="1" t="s">
        <v>20</v>
      </c>
      <c r="B24" s="1" t="s">
        <v>17</v>
      </c>
      <c r="C24">
        <v>0</v>
      </c>
      <c r="D24">
        <v>0</v>
      </c>
      <c r="E24">
        <v>0</v>
      </c>
      <c r="F24">
        <v>0</v>
      </c>
      <c r="G24">
        <v>0</v>
      </c>
    </row>
    <row r="25" spans="1:7" x14ac:dyDescent="0.3">
      <c r="A25" s="1" t="s">
        <v>20</v>
      </c>
      <c r="B25" s="1" t="s">
        <v>14</v>
      </c>
      <c r="C25">
        <v>0</v>
      </c>
      <c r="D25">
        <v>0</v>
      </c>
      <c r="E25">
        <v>0</v>
      </c>
      <c r="F25">
        <v>0</v>
      </c>
      <c r="G25">
        <v>0</v>
      </c>
    </row>
    <row r="26" spans="1:7" x14ac:dyDescent="0.3">
      <c r="A26" s="1" t="s">
        <v>20</v>
      </c>
      <c r="B26" s="1" t="s">
        <v>19</v>
      </c>
      <c r="C26">
        <v>0</v>
      </c>
      <c r="D26">
        <v>0</v>
      </c>
      <c r="E26">
        <v>0</v>
      </c>
      <c r="F26">
        <v>0</v>
      </c>
      <c r="G26">
        <v>0</v>
      </c>
    </row>
    <row r="27" spans="1:7" x14ac:dyDescent="0.3">
      <c r="A27" s="1" t="s">
        <v>22</v>
      </c>
      <c r="B27" s="1" t="s">
        <v>12</v>
      </c>
      <c r="C27">
        <v>24898.6</v>
      </c>
      <c r="D27">
        <v>759</v>
      </c>
      <c r="E27">
        <v>0</v>
      </c>
      <c r="F27">
        <v>-2129.4</v>
      </c>
      <c r="G27">
        <v>32.804000000000002</v>
      </c>
    </row>
    <row r="28" spans="1:7" x14ac:dyDescent="0.3">
      <c r="A28" s="1" t="s">
        <v>22</v>
      </c>
      <c r="B28" s="1" t="s">
        <v>8</v>
      </c>
      <c r="C28">
        <v>13433.5</v>
      </c>
      <c r="D28">
        <v>388</v>
      </c>
      <c r="E28">
        <v>0</v>
      </c>
      <c r="F28">
        <v>-1035.5</v>
      </c>
      <c r="G28">
        <v>34.622</v>
      </c>
    </row>
    <row r="29" spans="1:7" x14ac:dyDescent="0.3">
      <c r="A29" s="1" t="s">
        <v>22</v>
      </c>
      <c r="B29" s="1" t="s">
        <v>18</v>
      </c>
      <c r="C29">
        <v>12265.55</v>
      </c>
      <c r="D29">
        <v>356</v>
      </c>
      <c r="E29">
        <v>0</v>
      </c>
      <c r="F29">
        <v>-1011.45</v>
      </c>
      <c r="G29">
        <v>34.454000000000001</v>
      </c>
    </row>
    <row r="30" spans="1:7" x14ac:dyDescent="0.3">
      <c r="A30" s="1" t="s">
        <v>22</v>
      </c>
      <c r="B30" s="1" t="s">
        <v>9</v>
      </c>
      <c r="C30">
        <v>11407.3</v>
      </c>
      <c r="D30">
        <v>240</v>
      </c>
      <c r="E30">
        <v>0</v>
      </c>
      <c r="F30">
        <v>-36</v>
      </c>
      <c r="G30">
        <v>47.53</v>
      </c>
    </row>
    <row r="31" spans="1:7" x14ac:dyDescent="0.3">
      <c r="A31" s="1" t="s">
        <v>22</v>
      </c>
      <c r="B31" s="1" t="s">
        <v>10</v>
      </c>
      <c r="C31">
        <v>5234.45</v>
      </c>
      <c r="D31">
        <v>183</v>
      </c>
      <c r="E31">
        <v>0</v>
      </c>
      <c r="F31">
        <v>-529.54999999999995</v>
      </c>
      <c r="G31">
        <v>28.603999999999999</v>
      </c>
    </row>
    <row r="32" spans="1:7" x14ac:dyDescent="0.3">
      <c r="A32" s="1" t="s">
        <v>22</v>
      </c>
      <c r="B32" s="1" t="s">
        <v>11</v>
      </c>
      <c r="C32">
        <v>1270.9000000000001</v>
      </c>
      <c r="D32">
        <v>46</v>
      </c>
      <c r="E32">
        <v>0</v>
      </c>
      <c r="F32">
        <v>-71.099999999999994</v>
      </c>
      <c r="G32">
        <v>27.628</v>
      </c>
    </row>
    <row r="33" spans="1:7" x14ac:dyDescent="0.3">
      <c r="A33" s="1" t="s">
        <v>22</v>
      </c>
      <c r="B33" s="1" t="s">
        <v>15</v>
      </c>
      <c r="C33">
        <v>0</v>
      </c>
      <c r="D33">
        <v>0</v>
      </c>
      <c r="E33">
        <v>0</v>
      </c>
      <c r="F33">
        <v>0</v>
      </c>
      <c r="G33">
        <v>0</v>
      </c>
    </row>
    <row r="34" spans="1:7" x14ac:dyDescent="0.3">
      <c r="A34" s="1" t="s">
        <v>22</v>
      </c>
      <c r="B34" s="1" t="s">
        <v>21</v>
      </c>
      <c r="C34">
        <v>0</v>
      </c>
      <c r="D34">
        <v>0</v>
      </c>
      <c r="E34">
        <v>0</v>
      </c>
      <c r="F34">
        <v>0</v>
      </c>
      <c r="G34">
        <v>0</v>
      </c>
    </row>
    <row r="35" spans="1:7" x14ac:dyDescent="0.3">
      <c r="A35" s="1" t="s">
        <v>22</v>
      </c>
      <c r="B35" s="1" t="s">
        <v>16</v>
      </c>
      <c r="C35">
        <v>0</v>
      </c>
      <c r="D35">
        <v>0</v>
      </c>
      <c r="E35">
        <v>0</v>
      </c>
      <c r="F35">
        <v>0</v>
      </c>
      <c r="G35">
        <v>0</v>
      </c>
    </row>
    <row r="36" spans="1:7" x14ac:dyDescent="0.3">
      <c r="A36" s="1" t="s">
        <v>22</v>
      </c>
      <c r="B36" s="1" t="s">
        <v>13</v>
      </c>
      <c r="C36">
        <v>0</v>
      </c>
      <c r="D36">
        <v>0</v>
      </c>
      <c r="E36">
        <v>0</v>
      </c>
      <c r="F36">
        <v>0</v>
      </c>
      <c r="G36">
        <v>0</v>
      </c>
    </row>
    <row r="37" spans="1:7" x14ac:dyDescent="0.3">
      <c r="A37" s="1" t="s">
        <v>22</v>
      </c>
      <c r="B37" s="1" t="s">
        <v>17</v>
      </c>
      <c r="C37">
        <v>0</v>
      </c>
      <c r="D37">
        <v>0</v>
      </c>
      <c r="E37">
        <v>0</v>
      </c>
      <c r="F37">
        <v>0</v>
      </c>
      <c r="G37">
        <v>0</v>
      </c>
    </row>
    <row r="38" spans="1:7" x14ac:dyDescent="0.3">
      <c r="A38" s="1" t="s">
        <v>22</v>
      </c>
      <c r="B38" s="1" t="s">
        <v>14</v>
      </c>
      <c r="C38">
        <v>0</v>
      </c>
      <c r="D38">
        <v>0</v>
      </c>
      <c r="E38">
        <v>0</v>
      </c>
      <c r="F38">
        <v>0</v>
      </c>
      <c r="G38">
        <v>0</v>
      </c>
    </row>
    <row r="39" spans="1:7" x14ac:dyDescent="0.3">
      <c r="A39" s="1" t="s">
        <v>22</v>
      </c>
      <c r="B39" s="1" t="s">
        <v>19</v>
      </c>
      <c r="C39">
        <v>0</v>
      </c>
      <c r="D39">
        <v>0</v>
      </c>
      <c r="E39">
        <v>0</v>
      </c>
      <c r="F39">
        <v>0</v>
      </c>
      <c r="G39">
        <v>0</v>
      </c>
    </row>
    <row r="40" spans="1:7" x14ac:dyDescent="0.3">
      <c r="A40" s="1" t="s">
        <v>23</v>
      </c>
      <c r="B40" s="1" t="s">
        <v>8</v>
      </c>
      <c r="C40">
        <v>17005.05</v>
      </c>
      <c r="D40">
        <v>486</v>
      </c>
      <c r="E40">
        <v>0</v>
      </c>
      <c r="F40">
        <v>-1539.7</v>
      </c>
      <c r="G40">
        <v>34.99</v>
      </c>
    </row>
    <row r="41" spans="1:7" x14ac:dyDescent="0.3">
      <c r="A41" s="1" t="s">
        <v>23</v>
      </c>
      <c r="B41" s="1" t="s">
        <v>13</v>
      </c>
      <c r="C41">
        <v>14781.61</v>
      </c>
      <c r="D41">
        <v>402</v>
      </c>
      <c r="E41">
        <v>0</v>
      </c>
      <c r="F41">
        <v>-1386.64</v>
      </c>
      <c r="G41">
        <v>36.770000000000003</v>
      </c>
    </row>
    <row r="42" spans="1:7" x14ac:dyDescent="0.3">
      <c r="A42" s="1" t="s">
        <v>23</v>
      </c>
      <c r="B42" s="1" t="s">
        <v>9</v>
      </c>
      <c r="C42">
        <v>11542.5</v>
      </c>
      <c r="D42">
        <v>250</v>
      </c>
      <c r="E42">
        <v>0</v>
      </c>
      <c r="F42">
        <v>-68.5</v>
      </c>
      <c r="G42">
        <v>46.17</v>
      </c>
    </row>
    <row r="43" spans="1:7" x14ac:dyDescent="0.3">
      <c r="A43" s="1" t="s">
        <v>23</v>
      </c>
      <c r="B43" s="1" t="s">
        <v>12</v>
      </c>
      <c r="C43">
        <v>11313.3</v>
      </c>
      <c r="D43">
        <v>340</v>
      </c>
      <c r="E43">
        <v>0</v>
      </c>
      <c r="F43">
        <v>-1065.7</v>
      </c>
      <c r="G43">
        <v>33.274000000000001</v>
      </c>
    </row>
    <row r="44" spans="1:7" x14ac:dyDescent="0.3">
      <c r="A44" s="1" t="s">
        <v>23</v>
      </c>
      <c r="B44" s="1" t="s">
        <v>18</v>
      </c>
      <c r="C44">
        <v>8613.3700000000008</v>
      </c>
      <c r="D44">
        <v>260</v>
      </c>
      <c r="E44">
        <v>0</v>
      </c>
      <c r="F44">
        <v>-894.63</v>
      </c>
      <c r="G44">
        <v>33.128</v>
      </c>
    </row>
    <row r="45" spans="1:7" x14ac:dyDescent="0.3">
      <c r="A45" s="1" t="s">
        <v>23</v>
      </c>
      <c r="B45" s="1" t="s">
        <v>11</v>
      </c>
      <c r="C45">
        <v>3560.7</v>
      </c>
      <c r="D45">
        <v>117</v>
      </c>
      <c r="E45">
        <v>0</v>
      </c>
      <c r="F45">
        <v>-273.3</v>
      </c>
      <c r="G45">
        <v>30.433</v>
      </c>
    </row>
    <row r="46" spans="1:7" x14ac:dyDescent="0.3">
      <c r="A46" s="1" t="s">
        <v>23</v>
      </c>
      <c r="B46" s="1" t="s">
        <v>10</v>
      </c>
      <c r="C46">
        <v>3388.87</v>
      </c>
      <c r="D46">
        <v>110</v>
      </c>
      <c r="E46">
        <v>0</v>
      </c>
      <c r="F46">
        <v>-203.63</v>
      </c>
      <c r="G46">
        <v>30.808</v>
      </c>
    </row>
    <row r="47" spans="1:7" x14ac:dyDescent="0.3">
      <c r="A47" s="1" t="s">
        <v>23</v>
      </c>
      <c r="B47" s="1" t="s">
        <v>14</v>
      </c>
      <c r="C47">
        <v>28</v>
      </c>
      <c r="D47">
        <v>1</v>
      </c>
      <c r="E47">
        <v>0</v>
      </c>
      <c r="F47">
        <v>0</v>
      </c>
      <c r="G47">
        <v>28</v>
      </c>
    </row>
    <row r="48" spans="1:7" x14ac:dyDescent="0.3">
      <c r="A48" s="1" t="s">
        <v>23</v>
      </c>
      <c r="B48" s="1" t="s">
        <v>15</v>
      </c>
      <c r="C48">
        <v>0</v>
      </c>
      <c r="D48">
        <v>0</v>
      </c>
      <c r="E48">
        <v>0</v>
      </c>
      <c r="F48">
        <v>0</v>
      </c>
      <c r="G48">
        <v>0</v>
      </c>
    </row>
    <row r="49" spans="1:7" x14ac:dyDescent="0.3">
      <c r="A49" s="1" t="s">
        <v>23</v>
      </c>
      <c r="B49" s="1" t="s">
        <v>21</v>
      </c>
      <c r="C49">
        <v>0</v>
      </c>
      <c r="D49">
        <v>0</v>
      </c>
      <c r="E49">
        <v>0</v>
      </c>
      <c r="F49">
        <v>0</v>
      </c>
      <c r="G49">
        <v>0</v>
      </c>
    </row>
    <row r="50" spans="1:7" x14ac:dyDescent="0.3">
      <c r="A50" s="1" t="s">
        <v>23</v>
      </c>
      <c r="B50" s="1" t="s">
        <v>17</v>
      </c>
      <c r="C50">
        <v>0</v>
      </c>
      <c r="D50">
        <v>0</v>
      </c>
      <c r="E50">
        <v>0</v>
      </c>
      <c r="F50">
        <v>0</v>
      </c>
      <c r="G50">
        <v>0</v>
      </c>
    </row>
    <row r="51" spans="1:7" x14ac:dyDescent="0.3">
      <c r="A51" s="1" t="s">
        <v>23</v>
      </c>
      <c r="B51" s="1" t="s">
        <v>19</v>
      </c>
      <c r="C51">
        <v>0</v>
      </c>
      <c r="D51">
        <v>0</v>
      </c>
      <c r="E51">
        <v>0</v>
      </c>
      <c r="F51">
        <v>0</v>
      </c>
      <c r="G5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1BA0-5D55-40BC-8BEB-2D9CAD2A140C}">
  <dimension ref="A1"/>
  <sheetViews>
    <sheetView showGridLines="0" tabSelected="1" zoomScaleNormal="100" workbookViewId="0">
      <selection activeCell="J39" sqref="J39"/>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6A0F40-EE01-4F3A-BBCD-1B4D970352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cleaned</vt:lpstr>
      <vt:lpstr>Analysis</vt:lpstr>
      <vt:lpstr>Emp Productivity</vt:lpstr>
      <vt:lpstr>Dashboard</vt:lpstr>
      <vt:lpstr>ADT</vt:lpstr>
      <vt:lpstr>adtv</vt:lpstr>
      <vt:lpstr>ATV</vt:lpstr>
      <vt:lpstr>atvt</vt:lpstr>
      <vt:lpstr>khl</vt:lpstr>
      <vt:lpstr>Sales</vt:lpstr>
      <vt:lpstr>total</vt:lpstr>
    </vt:vector>
  </TitlesOfParts>
  <Company>Alshaya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Starbucks Al Dhaid Souq Shariat Heritage DT</dc:creator>
  <cp:lastModifiedBy>Aarham .</cp:lastModifiedBy>
  <dcterms:created xsi:type="dcterms:W3CDTF">2026-05-13T14:45:02Z</dcterms:created>
  <dcterms:modified xsi:type="dcterms:W3CDTF">2026-05-16T12:00:49Z</dcterms:modified>
</cp:coreProperties>
</file>